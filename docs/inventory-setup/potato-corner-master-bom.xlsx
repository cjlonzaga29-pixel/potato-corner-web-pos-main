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gredients" state="visible" r:id="rId5"/>
    <sheet sheetId="3" name="Product BOM" state="visible" r:id="rId6"/>
    <sheet sheetId="4" name="Flavor BOM" state="visible" r:id="rId7"/>
    <sheet sheetId="5" name="Mix Max Options" state="visible" r:id="rId8"/>
    <sheet sheetId="6" name="Opening Stock" state="visible" r:id="rId9"/>
    <sheet sheetId="7" name="Validation Summary" state="visible" r:id="rId10"/>
  </sheets>
  <calcPr calcId="171027"/>
</workbook>
</file>

<file path=xl/sharedStrings.xml><?xml version="1.0" encoding="utf-8"?>
<sst xmlns="http://schemas.openxmlformats.org/spreadsheetml/2006/main" count="1391" uniqueCount="230">
  <si>
    <t>Potato Corner Master BOM — Setup Instructions</t>
  </si>
  <si>
    <t>These CSV-derived sheets are for entering real ingredient, packaging, and serving quantities before any</t>
  </si>
  <si>
    <t>inventory/BOM database records are created. No data has been imported and no migration has been applied.</t>
  </si>
  <si>
    <t/>
  </si>
  <si>
    <t>How to fill this workbook in:</t>
  </si>
  <si>
    <t>1. Fill in all highlighted (pale yellow) required cells. Do not leave a highlighted cell blank.</t>
  </si>
  <si>
    <t>2. Use exact catalog names for products, variants, flavors, and inventory items — do not rename them.</t>
  </si>
  <si>
    <t>3. Quantities represent usage for one completed sale (i.e. consumption per single unit sold).</t>
  </si>
  <si>
    <t>4. Use consistent units: g for dry ingredients, ml for liquids, pc for packaging and finished goods.</t>
  </si>
  <si>
    <t>5. The Mix &amp; Max parent BOM (Product BOM sheet) contains packaging only — no snack ingredients.</t>
  </si>
  <si>
    <t>6. Selected snacks deduct their own inventory based on the snack variant chosen for each Mix &amp; Max slot.</t>
  </si>
  <si>
    <t>7. Do not import this data until the TypeScript validator (pnpm run validate:inventory-setup) returns PASS.</t>
  </si>
  <si>
    <t>8. Tissue and Fork are optional inventory items — confirm whether they should be tracked before filling them in.</t>
  </si>
  <si>
    <t>Required User Decisions:</t>
  </si>
  <si>
    <t>- Branch names for every row</t>
  </si>
  <si>
    <t>- Stock units for every inventory item</t>
  </si>
  <si>
    <t>- Costs (cost_per_unit) for every inventory item</t>
  </si>
  <si>
    <t>- Reorder levels for every inventory item</t>
  </si>
  <si>
    <t>- Serving quantities for every product/variant</t>
  </si>
  <si>
    <t>- Oil allocation per fries size</t>
  </si>
  <si>
    <t>- Seasoning quantities for every flavor and size (all 48 Flavor BOM rows)</t>
  </si>
  <si>
    <t>- Packaging quantities per variant</t>
  </si>
  <si>
    <t>- Mix &amp; Max snack variant mappings (all 21 Mix Max Options rows)</t>
  </si>
  <si>
    <t>- Opening stock quantities, unit costs, branches, and effective dates</t>
  </si>
  <si>
    <t>- Whether Tissue and Fork should be tracked as inventory at all</t>
  </si>
  <si>
    <t>The workbook formulas on the Validation Summary sheet are only a completion guide.</t>
  </si>
  <si>
    <t>The TypeScript inventory validator (apps/api/scripts/validate-inventory-setup.ts) remains the final source of truth.</t>
  </si>
  <si>
    <t>branch_name</t>
  </si>
  <si>
    <t>inventory_item_name</t>
  </si>
  <si>
    <t>item_type</t>
  </si>
  <si>
    <t>stock_unit</t>
  </si>
  <si>
    <t>cost_per_unit</t>
  </si>
  <si>
    <t>reorder_level</t>
  </si>
  <si>
    <t>notes</t>
  </si>
  <si>
    <t>Fries Base</t>
  </si>
  <si>
    <t>RAW_MATERIAL</t>
  </si>
  <si>
    <t>kg</t>
  </si>
  <si>
    <t>105.00</t>
  </si>
  <si>
    <t>20</t>
  </si>
  <si>
    <t>TEST DATA — Replace before production.</t>
  </si>
  <si>
    <t>Cooking Oil</t>
  </si>
  <si>
    <t>L</t>
  </si>
  <si>
    <t>68.00</t>
  </si>
  <si>
    <t>15</t>
  </si>
  <si>
    <t>Loopys Base</t>
  </si>
  <si>
    <t>120.00</t>
  </si>
  <si>
    <t>Chicken Pops</t>
  </si>
  <si>
    <t>190.00</t>
  </si>
  <si>
    <t>Cheese Powder</t>
  </si>
  <si>
    <t>SEASONING</t>
  </si>
  <si>
    <t>tbsp</t>
  </si>
  <si>
    <t>5.00</t>
  </si>
  <si>
    <t>50</t>
  </si>
  <si>
    <t>TEST DATA — Replace before production. stock_unit changed g-&gt;tbsp; recipe reference sheet uses tablespoons and no verified tbsp-&gt;g conversion exists.</t>
  </si>
  <si>
    <t>BBQ Powder</t>
  </si>
  <si>
    <t>4.50</t>
  </si>
  <si>
    <t>Sour Cream Powder</t>
  </si>
  <si>
    <t>5.50</t>
  </si>
  <si>
    <t>White Cheddar Powder</t>
  </si>
  <si>
    <t>6.00</t>
  </si>
  <si>
    <t>Sour Cheese Powder</t>
  </si>
  <si>
    <t>Chili BBQ Powder</t>
  </si>
  <si>
    <t>Chili Cheese Powder</t>
  </si>
  <si>
    <t>Sweet Corn Powder</t>
  </si>
  <si>
    <t>Regular Fries Cup</t>
  </si>
  <si>
    <t>PACKAGING</t>
  </si>
  <si>
    <t>pc</t>
  </si>
  <si>
    <t>1.50</t>
  </si>
  <si>
    <t>150</t>
  </si>
  <si>
    <t>Large Fries Cup</t>
  </si>
  <si>
    <t>1.80</t>
  </si>
  <si>
    <t>120</t>
  </si>
  <si>
    <t>Jumbo Fries Cup</t>
  </si>
  <si>
    <t>2.20</t>
  </si>
  <si>
    <t>100</t>
  </si>
  <si>
    <t>Mega Fries Cup</t>
  </si>
  <si>
    <t>2.50</t>
  </si>
  <si>
    <t>80</t>
  </si>
  <si>
    <t>Giga Fries Container</t>
  </si>
  <si>
    <t>3.50</t>
  </si>
  <si>
    <t>60</t>
  </si>
  <si>
    <t>Tera Fries Container</t>
  </si>
  <si>
    <t>4.20</t>
  </si>
  <si>
    <t>Large Loopys Container</t>
  </si>
  <si>
    <t>2.00</t>
  </si>
  <si>
    <t>Mega Loopys Container</t>
  </si>
  <si>
    <t>2.60</t>
  </si>
  <si>
    <t>Regular Chicken Pops Container</t>
  </si>
  <si>
    <t>1.60</t>
  </si>
  <si>
    <t>Large Chicken Pops Container</t>
  </si>
  <si>
    <t>Mega Chicken Pops Container</t>
  </si>
  <si>
    <t>Large Mix &amp; Max Box</t>
  </si>
  <si>
    <t>4.00</t>
  </si>
  <si>
    <t>200</t>
  </si>
  <si>
    <t>Mega Mix &amp; Max Box</t>
  </si>
  <si>
    <t>Tera Mix &amp; Max Box</t>
  </si>
  <si>
    <t>6.50</t>
  </si>
  <si>
    <t>Bottled Water</t>
  </si>
  <si>
    <t>FINISHED_GOOD</t>
  </si>
  <si>
    <t>12.00</t>
  </si>
  <si>
    <t>48</t>
  </si>
  <si>
    <t>Soda</t>
  </si>
  <si>
    <t>15.00</t>
  </si>
  <si>
    <t>Tissue</t>
  </si>
  <si>
    <t>0.20</t>
  </si>
  <si>
    <t>500</t>
  </si>
  <si>
    <t>OPTIONAL - confirm if tracked as inventory; TEST DATA — Replace before production.</t>
  </si>
  <si>
    <t>Fork</t>
  </si>
  <si>
    <t>0.50</t>
  </si>
  <si>
    <t>300</t>
  </si>
  <si>
    <t>Kraft Bag</t>
  </si>
  <si>
    <t>product_name</t>
  </si>
  <si>
    <t>variant_name</t>
  </si>
  <si>
    <t>mapping_type</t>
  </si>
  <si>
    <t>quantity_required</t>
  </si>
  <si>
    <t>unit</t>
  </si>
  <si>
    <t>required_from_user</t>
  </si>
  <si>
    <t>Flavored Fries</t>
  </si>
  <si>
    <t>Regular</t>
  </si>
  <si>
    <t>BASE</t>
  </si>
  <si>
    <t>0.064</t>
  </si>
  <si>
    <t>NO</t>
  </si>
  <si>
    <t>Raw fries weight 64g per standard weight reference sheet; converted g-&gt;kg to match Fries Base stock_unit.</t>
  </si>
  <si>
    <t>0.008</t>
  </si>
  <si>
    <t>TEST DATA — Replace before production. Temporary oil allocation for inventory-deduction testing, not an official recipe figure.</t>
  </si>
  <si>
    <t>1</t>
  </si>
  <si>
    <t>1 regular cup per reference sheet.</t>
  </si>
  <si>
    <t>Large</t>
  </si>
  <si>
    <t>0.131</t>
  </si>
  <si>
    <t>Raw fries weight 131g per standard weight reference sheet; converted g-&gt;kg.</t>
  </si>
  <si>
    <t>0.015</t>
  </si>
  <si>
    <t>1 large cup per reference sheet.</t>
  </si>
  <si>
    <t>Jumbo</t>
  </si>
  <si>
    <t>0.197</t>
  </si>
  <si>
    <t>Raw fries weight 197g per standard weight reference sheet; converted g-&gt;kg.</t>
  </si>
  <si>
    <t>0.022</t>
  </si>
  <si>
    <t>1 jumbo cup per reference sheet.</t>
  </si>
  <si>
    <t>Mega</t>
  </si>
  <si>
    <t>0.264</t>
  </si>
  <si>
    <t>Raw fries weight 264g per standard weight reference sheet; converted g-&gt;kg.</t>
  </si>
  <si>
    <t>0.030</t>
  </si>
  <si>
    <t>1 mega cup per reference sheet.</t>
  </si>
  <si>
    <t>Giga</t>
  </si>
  <si>
    <t>0.465</t>
  </si>
  <si>
    <t>Raw fries weight 465g per standard weight reference sheet; converted g-&gt;kg.</t>
  </si>
  <si>
    <t>0.050</t>
  </si>
  <si>
    <t>1 giga cup per reference sheet.</t>
  </si>
  <si>
    <t>Tera</t>
  </si>
  <si>
    <t>0.527</t>
  </si>
  <si>
    <t>Raw fries weight 527g per standard weight reference sheet; converted g-&gt;kg.</t>
  </si>
  <si>
    <t>0.060</t>
  </si>
  <si>
    <t>1 tera cup per reference sheet.</t>
  </si>
  <si>
    <t>Loopys</t>
  </si>
  <si>
    <t>0.1</t>
  </si>
  <si>
    <t>100g loopys per Large Loopys recipe sheet; converted g-&gt;kg.</t>
  </si>
  <si>
    <t>1 large cup per recipe sheet.</t>
  </si>
  <si>
    <t>0.2</t>
  </si>
  <si>
    <t>200g loopys per Mega Loopys recipe sheet; converted g-&gt;kg.</t>
  </si>
  <si>
    <t>1 mega cup per recipe sheet.</t>
  </si>
  <si>
    <t>Crunchy Chicken Pops</t>
  </si>
  <si>
    <t>0.07</t>
  </si>
  <si>
    <t>70g chicken pops per Regular CCP recipe sheet; converted g-&gt;kg.</t>
  </si>
  <si>
    <t>1 regular cup per recipe sheet.</t>
  </si>
  <si>
    <t>0.12</t>
  </si>
  <si>
    <t>120g chicken pops per Large CCP recipe sheet; converted g-&gt;kg.</t>
  </si>
  <si>
    <t>0.23</t>
  </si>
  <si>
    <t>230g chicken pops per Mega CCP recipe sheet; converted g-&gt;kg.</t>
  </si>
  <si>
    <t>Container size per catalog packaging item name; recipe sheet cup/kraft-bag row alignment for Mega CCP was visually unclear beyond the gram figure so container count only (not cup label) is asserted.</t>
  </si>
  <si>
    <t>Mix &amp; Max</t>
  </si>
  <si>
    <t>Large Mix</t>
  </si>
  <si>
    <t>TEST DATA — Replace before production. Temporary packaging allocation for inventory-deduction testing; parent packaging only, snack contents defined in mix-max-snack-options-template.csv.</t>
  </si>
  <si>
    <t>Mega Mix</t>
  </si>
  <si>
    <t>Tera Mix</t>
  </si>
  <si>
    <t>Drinks</t>
  </si>
  <si>
    <t>Water</t>
  </si>
  <si>
    <t>TEST DATA — Replace before production. One bottle per sale, matching existing "Bottled Water" ingredient.</t>
  </si>
  <si>
    <t>TEST DATA — Replace before production. One can per sale.</t>
  </si>
  <si>
    <t>flavor_name</t>
  </si>
  <si>
    <t>Cheese</t>
  </si>
  <si>
    <t>0.5</t>
  </si>
  <si>
    <t>TEST DATA — Replace before production. Seasoning stock_unit changed g-&gt;tbsp per recipe reference sheet (tablespoon-based); no verified tbsp-&gt;g conversion exists.</t>
  </si>
  <si>
    <t>BBQ</t>
  </si>
  <si>
    <t>TEST DATA — Replace before production. Seasoning stock_unit changed g-&gt;tbsp per recipe reference sheet.</t>
  </si>
  <si>
    <t>Sour Cream</t>
  </si>
  <si>
    <t>White Cheddar</t>
  </si>
  <si>
    <t>Sour Cheese</t>
  </si>
  <si>
    <t>Chili BBQ</t>
  </si>
  <si>
    <t>Chili Cheese</t>
  </si>
  <si>
    <t>Sweet Corn</t>
  </si>
  <si>
    <t>1.5</t>
  </si>
  <si>
    <t>2</t>
  </si>
  <si>
    <t>3.5</t>
  </si>
  <si>
    <t>4</t>
  </si>
  <si>
    <t>mix_variant</t>
  </si>
  <si>
    <t>slot_index</t>
  </si>
  <si>
    <t>slot_label</t>
  </si>
  <si>
    <t>allowed_snack_product</t>
  </si>
  <si>
    <t>allowed_snack_variant</t>
  </si>
  <si>
    <t>required</t>
  </si>
  <si>
    <t>Snack 1</t>
  </si>
  <si>
    <t>TRUE</t>
  </si>
  <si>
    <t>TEST DATA — Replace before production. Temporary mapping for functionality testing only.</t>
  </si>
  <si>
    <t>Snack 2</t>
  </si>
  <si>
    <t>3</t>
  </si>
  <si>
    <t>Snack 3</t>
  </si>
  <si>
    <t>opening_quantity</t>
  </si>
  <si>
    <t>unit_cost</t>
  </si>
  <si>
    <t>effective_date</t>
  </si>
  <si>
    <t>2026-07-29</t>
  </si>
  <si>
    <t>40</t>
  </si>
  <si>
    <t>35</t>
  </si>
  <si>
    <t>TEST DATA — Replace before production. Unit changed g-&gt;tbsp to match ingredients-template.csv.</t>
  </si>
  <si>
    <t>250</t>
  </si>
  <si>
    <t>180</t>
  </si>
  <si>
    <t>400</t>
  </si>
  <si>
    <t>2000</t>
  </si>
  <si>
    <t>1000</t>
  </si>
  <si>
    <t>Workbook Status: INCOMPLETE</t>
  </si>
  <si>
    <t>The workbook formulas are only a completion guide. The TypeScript inventory validator remains the final source of truth.</t>
  </si>
  <si>
    <t>Sheet</t>
  </si>
  <si>
    <t>Template Rows</t>
  </si>
  <si>
    <t>Required Input Columns</t>
  </si>
  <si>
    <t>Blank Required Cells</t>
  </si>
  <si>
    <t>Status</t>
  </si>
  <si>
    <t>Ingredients</t>
  </si>
  <si>
    <t>Product BOM</t>
  </si>
  <si>
    <t>Flavor BOM</t>
  </si>
  <si>
    <t>Mix Max Options</t>
  </si>
  <si>
    <t>Opening Stock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</si>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</sst>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b/>
      <color rgb="FFB00020"/>
      <sz val="14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Protection="1"/>
    <xf numFmtId="0" fontId="0" fillId="0" borderId="0" xfId="0" applyAlignment="1" applyProtection="1">
      <alignment vertical="top" wrapText="1"/>
    </xf>
    <xf numFmtId="0" fontId="2" fillId="0" borderId="0" xfId="0" applyFont="1" applyAlignment="1" applyProtection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64" fontId="0" fillId="3" borderId="1" xfId="0" applyNumberFormat="1" applyFill="1" applyBorder="1" applyAlignment="1" applyProtection="1">
      <alignment vertical="center"/>
      <protection locked="0"/>
    </xf>
    <xf numFmtId="0" fontId="4" fillId="0" borderId="0" xfId="0" applyFont="1" applyProtection="1"/>
    <xf numFmtId="0" fontId="5" fillId="0" borderId="0" xfId="0" applyFont="1" applyAlignment="1" applyProtection="1">
      <alignment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left" vertical="center"/>
    </xf>
    <xf numFmtId="0" fontId="0" fillId="0" borderId="1" xfId="0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3</v>
      </c>
    </row>
    <row r="16" spans="1:1" x14ac:dyDescent="0.25">
      <c r="A16" s="3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3</v>
      </c>
    </row>
    <row r="29" spans="1:1" x14ac:dyDescent="0.25">
      <c r="A29" s="2" t="s">
        <v>25</v>
      </c>
    </row>
    <row r="30" spans="1:1" x14ac:dyDescent="0.25">
      <c r="A30" s="2" t="s">
        <v>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3" customWidth="1"/>
    <col min="3" max="4" width="14" customWidth="1"/>
    <col min="5" max="6" width="17" customWidth="1"/>
    <col min="7" max="7" width="40" customWidth="1"/>
  </cols>
  <sheetData>
    <row r="1" spans="1:7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7" x14ac:dyDescent="0.25">
      <c r="A2" s="5" t="s">
        <v>3</v>
      </c>
      <c r="B2" s="6" t="s">
        <v>34</v>
      </c>
      <c r="C2" s="6" t="s">
        <v>35</v>
      </c>
      <c r="D2" s="5" t="s">
        <v>36</v>
      </c>
      <c r="E2" s="5" t="s">
        <v>37</v>
      </c>
      <c r="F2" s="5" t="s">
        <v>38</v>
      </c>
      <c r="G2" s="7" t="s">
        <v>39</v>
      </c>
    </row>
    <row r="3" spans="1:7" x14ac:dyDescent="0.25">
      <c r="A3" s="5" t="s">
        <v>3</v>
      </c>
      <c r="B3" s="8" t="s">
        <v>40</v>
      </c>
      <c r="C3" s="8" t="s">
        <v>35</v>
      </c>
      <c r="D3" s="5" t="s">
        <v>41</v>
      </c>
      <c r="E3" s="5" t="s">
        <v>42</v>
      </c>
      <c r="F3" s="5" t="s">
        <v>43</v>
      </c>
      <c r="G3" s="9" t="s">
        <v>39</v>
      </c>
    </row>
    <row r="4" spans="1:7" x14ac:dyDescent="0.25">
      <c r="A4" s="5" t="s">
        <v>3</v>
      </c>
      <c r="B4" s="6" t="s">
        <v>44</v>
      </c>
      <c r="C4" s="6" t="s">
        <v>35</v>
      </c>
      <c r="D4" s="5" t="s">
        <v>36</v>
      </c>
      <c r="E4" s="5" t="s">
        <v>45</v>
      </c>
      <c r="F4" s="5" t="s">
        <v>43</v>
      </c>
      <c r="G4" s="7" t="s">
        <v>39</v>
      </c>
    </row>
    <row r="5" spans="1:7" x14ac:dyDescent="0.25">
      <c r="A5" s="5" t="s">
        <v>3</v>
      </c>
      <c r="B5" s="8" t="s">
        <v>46</v>
      </c>
      <c r="C5" s="8" t="s">
        <v>35</v>
      </c>
      <c r="D5" s="5" t="s">
        <v>36</v>
      </c>
      <c r="E5" s="5" t="s">
        <v>47</v>
      </c>
      <c r="F5" s="5" t="s">
        <v>43</v>
      </c>
      <c r="G5" s="9" t="s">
        <v>39</v>
      </c>
    </row>
    <row r="6" spans="1:7" x14ac:dyDescent="0.25">
      <c r="A6" s="5" t="s">
        <v>3</v>
      </c>
      <c r="B6" s="6" t="s">
        <v>48</v>
      </c>
      <c r="C6" s="6" t="s">
        <v>49</v>
      </c>
      <c r="D6" s="5" t="s">
        <v>50</v>
      </c>
      <c r="E6" s="5" t="s">
        <v>51</v>
      </c>
      <c r="F6" s="5" t="s">
        <v>52</v>
      </c>
      <c r="G6" s="7" t="s">
        <v>53</v>
      </c>
    </row>
    <row r="7" spans="1:7" x14ac:dyDescent="0.25">
      <c r="A7" s="5" t="s">
        <v>3</v>
      </c>
      <c r="B7" s="8" t="s">
        <v>54</v>
      </c>
      <c r="C7" s="8" t="s">
        <v>49</v>
      </c>
      <c r="D7" s="5" t="s">
        <v>50</v>
      </c>
      <c r="E7" s="5" t="s">
        <v>55</v>
      </c>
      <c r="F7" s="5" t="s">
        <v>52</v>
      </c>
      <c r="G7" s="9" t="s">
        <v>53</v>
      </c>
    </row>
    <row r="8" spans="1:7" x14ac:dyDescent="0.25">
      <c r="A8" s="5" t="s">
        <v>3</v>
      </c>
      <c r="B8" s="6" t="s">
        <v>56</v>
      </c>
      <c r="C8" s="6" t="s">
        <v>49</v>
      </c>
      <c r="D8" s="5" t="s">
        <v>50</v>
      </c>
      <c r="E8" s="5" t="s">
        <v>57</v>
      </c>
      <c r="F8" s="5" t="s">
        <v>52</v>
      </c>
      <c r="G8" s="7" t="s">
        <v>53</v>
      </c>
    </row>
    <row r="9" spans="1:7" x14ac:dyDescent="0.25">
      <c r="A9" s="5" t="s">
        <v>3</v>
      </c>
      <c r="B9" s="8" t="s">
        <v>58</v>
      </c>
      <c r="C9" s="8" t="s">
        <v>49</v>
      </c>
      <c r="D9" s="5" t="s">
        <v>50</v>
      </c>
      <c r="E9" s="5" t="s">
        <v>59</v>
      </c>
      <c r="F9" s="5" t="s">
        <v>52</v>
      </c>
      <c r="G9" s="9" t="s">
        <v>53</v>
      </c>
    </row>
    <row r="10" spans="1:7" x14ac:dyDescent="0.25">
      <c r="A10" s="5" t="s">
        <v>3</v>
      </c>
      <c r="B10" s="6" t="s">
        <v>60</v>
      </c>
      <c r="C10" s="6" t="s">
        <v>49</v>
      </c>
      <c r="D10" s="5" t="s">
        <v>50</v>
      </c>
      <c r="E10" s="5" t="s">
        <v>57</v>
      </c>
      <c r="F10" s="5" t="s">
        <v>52</v>
      </c>
      <c r="G10" s="7" t="s">
        <v>53</v>
      </c>
    </row>
    <row r="11" spans="1:7" x14ac:dyDescent="0.25">
      <c r="A11" s="5" t="s">
        <v>3</v>
      </c>
      <c r="B11" s="8" t="s">
        <v>61</v>
      </c>
      <c r="C11" s="8" t="s">
        <v>49</v>
      </c>
      <c r="D11" s="5" t="s">
        <v>50</v>
      </c>
      <c r="E11" s="5" t="s">
        <v>51</v>
      </c>
      <c r="F11" s="5" t="s">
        <v>52</v>
      </c>
      <c r="G11" s="9" t="s">
        <v>53</v>
      </c>
    </row>
    <row r="12" spans="1:7" x14ac:dyDescent="0.25">
      <c r="A12" s="5" t="s">
        <v>3</v>
      </c>
      <c r="B12" s="6" t="s">
        <v>62</v>
      </c>
      <c r="C12" s="6" t="s">
        <v>49</v>
      </c>
      <c r="D12" s="5" t="s">
        <v>50</v>
      </c>
      <c r="E12" s="5" t="s">
        <v>57</v>
      </c>
      <c r="F12" s="5" t="s">
        <v>52</v>
      </c>
      <c r="G12" s="7" t="s">
        <v>53</v>
      </c>
    </row>
    <row r="13" spans="1:7" x14ac:dyDescent="0.25">
      <c r="A13" s="5" t="s">
        <v>3</v>
      </c>
      <c r="B13" s="8" t="s">
        <v>63</v>
      </c>
      <c r="C13" s="8" t="s">
        <v>49</v>
      </c>
      <c r="D13" s="5" t="s">
        <v>50</v>
      </c>
      <c r="E13" s="5" t="s">
        <v>55</v>
      </c>
      <c r="F13" s="5" t="s">
        <v>52</v>
      </c>
      <c r="G13" s="9" t="s">
        <v>53</v>
      </c>
    </row>
    <row r="14" spans="1:7" x14ac:dyDescent="0.25">
      <c r="A14" s="5" t="s">
        <v>3</v>
      </c>
      <c r="B14" s="6" t="s">
        <v>64</v>
      </c>
      <c r="C14" s="6" t="s">
        <v>65</v>
      </c>
      <c r="D14" s="5" t="s">
        <v>66</v>
      </c>
      <c r="E14" s="5" t="s">
        <v>67</v>
      </c>
      <c r="F14" s="5" t="s">
        <v>68</v>
      </c>
      <c r="G14" s="7" t="s">
        <v>39</v>
      </c>
    </row>
    <row r="15" spans="1:7" x14ac:dyDescent="0.25">
      <c r="A15" s="5" t="s">
        <v>3</v>
      </c>
      <c r="B15" s="8" t="s">
        <v>69</v>
      </c>
      <c r="C15" s="8" t="s">
        <v>65</v>
      </c>
      <c r="D15" s="5" t="s">
        <v>66</v>
      </c>
      <c r="E15" s="5" t="s">
        <v>70</v>
      </c>
      <c r="F15" s="5" t="s">
        <v>71</v>
      </c>
      <c r="G15" s="9" t="s">
        <v>39</v>
      </c>
    </row>
    <row r="16" spans="1:7" x14ac:dyDescent="0.25">
      <c r="A16" s="5" t="s">
        <v>3</v>
      </c>
      <c r="B16" s="6" t="s">
        <v>72</v>
      </c>
      <c r="C16" s="6" t="s">
        <v>65</v>
      </c>
      <c r="D16" s="5" t="s">
        <v>66</v>
      </c>
      <c r="E16" s="5" t="s">
        <v>73</v>
      </c>
      <c r="F16" s="5" t="s">
        <v>74</v>
      </c>
      <c r="G16" s="7" t="s">
        <v>39</v>
      </c>
    </row>
    <row r="17" spans="1:7" x14ac:dyDescent="0.25">
      <c r="A17" s="5" t="s">
        <v>3</v>
      </c>
      <c r="B17" s="8" t="s">
        <v>75</v>
      </c>
      <c r="C17" s="8" t="s">
        <v>65</v>
      </c>
      <c r="D17" s="5" t="s">
        <v>66</v>
      </c>
      <c r="E17" s="5" t="s">
        <v>76</v>
      </c>
      <c r="F17" s="5" t="s">
        <v>77</v>
      </c>
      <c r="G17" s="9" t="s">
        <v>39</v>
      </c>
    </row>
    <row r="18" spans="1:7" x14ac:dyDescent="0.25">
      <c r="A18" s="5" t="s">
        <v>3</v>
      </c>
      <c r="B18" s="6" t="s">
        <v>78</v>
      </c>
      <c r="C18" s="6" t="s">
        <v>65</v>
      </c>
      <c r="D18" s="5" t="s">
        <v>66</v>
      </c>
      <c r="E18" s="5" t="s">
        <v>79</v>
      </c>
      <c r="F18" s="5" t="s">
        <v>80</v>
      </c>
      <c r="G18" s="7" t="s">
        <v>39</v>
      </c>
    </row>
    <row r="19" spans="1:7" x14ac:dyDescent="0.25">
      <c r="A19" s="5" t="s">
        <v>3</v>
      </c>
      <c r="B19" s="8" t="s">
        <v>81</v>
      </c>
      <c r="C19" s="8" t="s">
        <v>65</v>
      </c>
      <c r="D19" s="5" t="s">
        <v>66</v>
      </c>
      <c r="E19" s="5" t="s">
        <v>82</v>
      </c>
      <c r="F19" s="5" t="s">
        <v>52</v>
      </c>
      <c r="G19" s="9" t="s">
        <v>39</v>
      </c>
    </row>
    <row r="20" spans="1:7" x14ac:dyDescent="0.25">
      <c r="A20" s="5" t="s">
        <v>3</v>
      </c>
      <c r="B20" s="6" t="s">
        <v>83</v>
      </c>
      <c r="C20" s="6" t="s">
        <v>65</v>
      </c>
      <c r="D20" s="5" t="s">
        <v>66</v>
      </c>
      <c r="E20" s="5" t="s">
        <v>84</v>
      </c>
      <c r="F20" s="5" t="s">
        <v>77</v>
      </c>
      <c r="G20" s="7" t="s">
        <v>39</v>
      </c>
    </row>
    <row r="21" spans="1:7" x14ac:dyDescent="0.25">
      <c r="A21" s="5" t="s">
        <v>3</v>
      </c>
      <c r="B21" s="8" t="s">
        <v>85</v>
      </c>
      <c r="C21" s="8" t="s">
        <v>65</v>
      </c>
      <c r="D21" s="5" t="s">
        <v>66</v>
      </c>
      <c r="E21" s="5" t="s">
        <v>86</v>
      </c>
      <c r="F21" s="5" t="s">
        <v>80</v>
      </c>
      <c r="G21" s="9" t="s">
        <v>39</v>
      </c>
    </row>
    <row r="22" spans="1:7" x14ac:dyDescent="0.25">
      <c r="A22" s="5" t="s">
        <v>3</v>
      </c>
      <c r="B22" s="6" t="s">
        <v>87</v>
      </c>
      <c r="C22" s="6" t="s">
        <v>65</v>
      </c>
      <c r="D22" s="5" t="s">
        <v>66</v>
      </c>
      <c r="E22" s="5" t="s">
        <v>88</v>
      </c>
      <c r="F22" s="5" t="s">
        <v>74</v>
      </c>
      <c r="G22" s="7" t="s">
        <v>39</v>
      </c>
    </row>
    <row r="23" spans="1:7" x14ac:dyDescent="0.25">
      <c r="A23" s="5" t="s">
        <v>3</v>
      </c>
      <c r="B23" s="8" t="s">
        <v>89</v>
      </c>
      <c r="C23" s="8" t="s">
        <v>65</v>
      </c>
      <c r="D23" s="5" t="s">
        <v>66</v>
      </c>
      <c r="E23" s="5" t="s">
        <v>84</v>
      </c>
      <c r="F23" s="5" t="s">
        <v>77</v>
      </c>
      <c r="G23" s="9" t="s">
        <v>39</v>
      </c>
    </row>
    <row r="24" spans="1:7" x14ac:dyDescent="0.25">
      <c r="A24" s="5" t="s">
        <v>3</v>
      </c>
      <c r="B24" s="6" t="s">
        <v>90</v>
      </c>
      <c r="C24" s="6" t="s">
        <v>65</v>
      </c>
      <c r="D24" s="5" t="s">
        <v>66</v>
      </c>
      <c r="E24" s="5" t="s">
        <v>86</v>
      </c>
      <c r="F24" s="5" t="s">
        <v>80</v>
      </c>
      <c r="G24" s="7" t="s">
        <v>39</v>
      </c>
    </row>
    <row r="25" spans="1:7" x14ac:dyDescent="0.25">
      <c r="A25" s="5" t="s">
        <v>3</v>
      </c>
      <c r="B25" s="8" t="s">
        <v>91</v>
      </c>
      <c r="C25" s="8" t="s">
        <v>65</v>
      </c>
      <c r="D25" s="5" t="s">
        <v>66</v>
      </c>
      <c r="E25" s="5" t="s">
        <v>92</v>
      </c>
      <c r="F25" s="5" t="s">
        <v>93</v>
      </c>
      <c r="G25" s="9" t="s">
        <v>39</v>
      </c>
    </row>
    <row r="26" spans="1:7" x14ac:dyDescent="0.25">
      <c r="A26" s="5" t="s">
        <v>3</v>
      </c>
      <c r="B26" s="6" t="s">
        <v>94</v>
      </c>
      <c r="C26" s="6" t="s">
        <v>65</v>
      </c>
      <c r="D26" s="5" t="s">
        <v>66</v>
      </c>
      <c r="E26" s="5" t="s">
        <v>51</v>
      </c>
      <c r="F26" s="5" t="s">
        <v>93</v>
      </c>
      <c r="G26" s="7" t="s">
        <v>39</v>
      </c>
    </row>
    <row r="27" spans="1:7" x14ac:dyDescent="0.25">
      <c r="A27" s="5" t="s">
        <v>3</v>
      </c>
      <c r="B27" s="8" t="s">
        <v>95</v>
      </c>
      <c r="C27" s="8" t="s">
        <v>65</v>
      </c>
      <c r="D27" s="5" t="s">
        <v>66</v>
      </c>
      <c r="E27" s="5" t="s">
        <v>96</v>
      </c>
      <c r="F27" s="5" t="s">
        <v>93</v>
      </c>
      <c r="G27" s="9" t="s">
        <v>39</v>
      </c>
    </row>
    <row r="28" spans="1:7" x14ac:dyDescent="0.25">
      <c r="A28" s="5" t="s">
        <v>3</v>
      </c>
      <c r="B28" s="6" t="s">
        <v>97</v>
      </c>
      <c r="C28" s="6" t="s">
        <v>98</v>
      </c>
      <c r="D28" s="5" t="s">
        <v>66</v>
      </c>
      <c r="E28" s="5" t="s">
        <v>99</v>
      </c>
      <c r="F28" s="5" t="s">
        <v>100</v>
      </c>
      <c r="G28" s="7" t="s">
        <v>39</v>
      </c>
    </row>
    <row r="29" spans="1:7" x14ac:dyDescent="0.25">
      <c r="A29" s="5" t="s">
        <v>3</v>
      </c>
      <c r="B29" s="8" t="s">
        <v>101</v>
      </c>
      <c r="C29" s="8" t="s">
        <v>98</v>
      </c>
      <c r="D29" s="5" t="s">
        <v>66</v>
      </c>
      <c r="E29" s="5" t="s">
        <v>102</v>
      </c>
      <c r="F29" s="5" t="s">
        <v>100</v>
      </c>
      <c r="G29" s="9" t="s">
        <v>39</v>
      </c>
    </row>
    <row r="30" spans="1:7" x14ac:dyDescent="0.25">
      <c r="A30" s="5" t="s">
        <v>3</v>
      </c>
      <c r="B30" s="6" t="s">
        <v>103</v>
      </c>
      <c r="C30" s="6" t="s">
        <v>65</v>
      </c>
      <c r="D30" s="5" t="s">
        <v>66</v>
      </c>
      <c r="E30" s="5" t="s">
        <v>104</v>
      </c>
      <c r="F30" s="5" t="s">
        <v>105</v>
      </c>
      <c r="G30" s="7" t="s">
        <v>106</v>
      </c>
    </row>
    <row r="31" spans="1:7" x14ac:dyDescent="0.25">
      <c r="A31" s="5" t="s">
        <v>3</v>
      </c>
      <c r="B31" s="8" t="s">
        <v>107</v>
      </c>
      <c r="C31" s="8" t="s">
        <v>65</v>
      </c>
      <c r="D31" s="5" t="s">
        <v>66</v>
      </c>
      <c r="E31" s="5" t="s">
        <v>108</v>
      </c>
      <c r="F31" s="5" t="s">
        <v>109</v>
      </c>
      <c r="G31" s="9" t="s">
        <v>106</v>
      </c>
    </row>
    <row r="32" spans="1:7" x14ac:dyDescent="0.25">
      <c r="A32" s="5" t="s">
        <v>3</v>
      </c>
      <c r="B32" s="6" t="s">
        <v>110</v>
      </c>
      <c r="C32" s="6" t="s">
        <v>65</v>
      </c>
      <c r="D32" s="5" t="s">
        <v>66</v>
      </c>
      <c r="E32" s="5" t="s">
        <v>67</v>
      </c>
      <c r="F32" s="5" t="s">
        <v>109</v>
      </c>
      <c r="G32" s="7" t="s">
        <v>39</v>
      </c>
    </row>
  </sheetData>
  <sheetProtection sheet="1"/>
  <autoFilter ref="A1:G1"/>
  <dataValidations count="6">
    <dataValidation type="list" allowBlank="1" showErrorMessage="1" errorTitle="Invalid value" error="Value must be one of: RAW_MATERIAL, PACKAGING, FINISHED_GOOD, SEASONING" sqref="C10:C32">
      <formula1>"RAW_MATERIAL,PACKAGING,FINISHED_GOOD,SEASONING"</formula1>
    </dataValidation>
    <dataValidation type="list" allowBlank="1" showErrorMessage="1" errorTitle="Invalid value" error="Value must be one of: RAW_MATERIAL, PACKAGING, FINISHED_GOOD, SEASONING" sqref="C2:C32">
      <formula1>"RAW_MATERIAL,PACKAGING,FINISHED_GOOD,SEASONING"</formula1>
    </dataValidation>
    <dataValidation type="list" allowBlank="1" showErrorMessage="1" errorTitle="Invalid value" error="Value must be one of: g, kg, ml, L, pc, pack, bottle, tbsp" sqref="D10:D32">
      <formula1>"g,kg,ml,L,pc,pack,bottle,tbsp"</formula1>
    </dataValidation>
    <dataValidation type="list" allowBlank="1" showErrorMessage="1" errorTitle="Invalid value" error="Value must be one of: g, kg, ml, L, pc, pack, bottle, tbsp" sqref="D2:D32">
      <formula1>"g,kg,ml,L,pc,pack,bottle,tbsp"</formula1>
    </dataValidation>
    <dataValidation type="decimal" operator="greaterThanOrEqual" allowBlank="1" showErrorMessage="1" errorTitle="Invalid number" error="Value must be a non-negative number." sqref="E10:F32">
      <formula1>0</formula1>
    </dataValidation>
    <dataValidation type="decimal" operator="greaterThanOrEqual" allowBlank="1" showErrorMessage="1" errorTitle="Invalid number" error="Value must be a non-negative number." sqref="E2:F3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23" customWidth="1"/>
    <col min="5" max="5" width="16" customWidth="1"/>
    <col min="6" max="6" width="21" customWidth="1"/>
    <col min="7" max="7" width="14" customWidth="1"/>
    <col min="8" max="8" width="22" customWidth="1"/>
    <col min="9" max="9" width="40" customWidth="1"/>
  </cols>
  <sheetData>
    <row r="1" spans="1:9" x14ac:dyDescent="0.25">
      <c r="A1" s="4" t="s">
        <v>27</v>
      </c>
      <c r="B1" s="4" t="s">
        <v>111</v>
      </c>
      <c r="C1" s="4" t="s">
        <v>112</v>
      </c>
      <c r="D1" s="4" t="s">
        <v>28</v>
      </c>
      <c r="E1" s="4" t="s">
        <v>113</v>
      </c>
      <c r="F1" s="4" t="s">
        <v>114</v>
      </c>
      <c r="G1" s="4" t="s">
        <v>115</v>
      </c>
      <c r="H1" s="4" t="s">
        <v>116</v>
      </c>
      <c r="I1" s="4" t="s">
        <v>33</v>
      </c>
    </row>
    <row r="2" spans="1:9" x14ac:dyDescent="0.25">
      <c r="A2" s="5" t="s">
        <v>3</v>
      </c>
      <c r="B2" s="6" t="s">
        <v>117</v>
      </c>
      <c r="C2" s="6" t="s">
        <v>118</v>
      </c>
      <c r="D2" s="6" t="s">
        <v>34</v>
      </c>
      <c r="E2" s="6" t="s">
        <v>119</v>
      </c>
      <c r="F2" s="5" t="s">
        <v>120</v>
      </c>
      <c r="G2" s="5" t="s">
        <v>36</v>
      </c>
      <c r="H2" s="5" t="s">
        <v>121</v>
      </c>
      <c r="I2" s="7" t="s">
        <v>122</v>
      </c>
    </row>
    <row r="3" spans="1:9" x14ac:dyDescent="0.25">
      <c r="A3" s="5" t="s">
        <v>3</v>
      </c>
      <c r="B3" s="8" t="s">
        <v>117</v>
      </c>
      <c r="C3" s="8" t="s">
        <v>118</v>
      </c>
      <c r="D3" s="8" t="s">
        <v>40</v>
      </c>
      <c r="E3" s="8" t="s">
        <v>119</v>
      </c>
      <c r="F3" s="5" t="s">
        <v>123</v>
      </c>
      <c r="G3" s="5" t="s">
        <v>41</v>
      </c>
      <c r="H3" s="5" t="s">
        <v>121</v>
      </c>
      <c r="I3" s="9" t="s">
        <v>124</v>
      </c>
    </row>
    <row r="4" spans="1:9" x14ac:dyDescent="0.25">
      <c r="A4" s="5" t="s">
        <v>3</v>
      </c>
      <c r="B4" s="6" t="s">
        <v>117</v>
      </c>
      <c r="C4" s="6" t="s">
        <v>118</v>
      </c>
      <c r="D4" s="6" t="s">
        <v>64</v>
      </c>
      <c r="E4" s="6" t="s">
        <v>65</v>
      </c>
      <c r="F4" s="5" t="s">
        <v>125</v>
      </c>
      <c r="G4" s="5" t="s">
        <v>66</v>
      </c>
      <c r="H4" s="5" t="s">
        <v>121</v>
      </c>
      <c r="I4" s="7" t="s">
        <v>126</v>
      </c>
    </row>
    <row r="5" spans="1:9" x14ac:dyDescent="0.25">
      <c r="A5" s="5" t="s">
        <v>3</v>
      </c>
      <c r="B5" s="8" t="s">
        <v>117</v>
      </c>
      <c r="C5" s="8" t="s">
        <v>127</v>
      </c>
      <c r="D5" s="8" t="s">
        <v>34</v>
      </c>
      <c r="E5" s="8" t="s">
        <v>119</v>
      </c>
      <c r="F5" s="5" t="s">
        <v>128</v>
      </c>
      <c r="G5" s="5" t="s">
        <v>36</v>
      </c>
      <c r="H5" s="5" t="s">
        <v>121</v>
      </c>
      <c r="I5" s="9" t="s">
        <v>129</v>
      </c>
    </row>
    <row r="6" spans="1:9" x14ac:dyDescent="0.25">
      <c r="A6" s="5" t="s">
        <v>3</v>
      </c>
      <c r="B6" s="6" t="s">
        <v>117</v>
      </c>
      <c r="C6" s="6" t="s">
        <v>127</v>
      </c>
      <c r="D6" s="6" t="s">
        <v>40</v>
      </c>
      <c r="E6" s="6" t="s">
        <v>119</v>
      </c>
      <c r="F6" s="5" t="s">
        <v>130</v>
      </c>
      <c r="G6" s="5" t="s">
        <v>41</v>
      </c>
      <c r="H6" s="5" t="s">
        <v>121</v>
      </c>
      <c r="I6" s="7" t="s">
        <v>124</v>
      </c>
    </row>
    <row r="7" spans="1:9" x14ac:dyDescent="0.25">
      <c r="A7" s="5" t="s">
        <v>3</v>
      </c>
      <c r="B7" s="8" t="s">
        <v>117</v>
      </c>
      <c r="C7" s="8" t="s">
        <v>127</v>
      </c>
      <c r="D7" s="8" t="s">
        <v>69</v>
      </c>
      <c r="E7" s="8" t="s">
        <v>65</v>
      </c>
      <c r="F7" s="5" t="s">
        <v>125</v>
      </c>
      <c r="G7" s="5" t="s">
        <v>66</v>
      </c>
      <c r="H7" s="5" t="s">
        <v>121</v>
      </c>
      <c r="I7" s="9" t="s">
        <v>131</v>
      </c>
    </row>
    <row r="8" spans="1:9" x14ac:dyDescent="0.25">
      <c r="A8" s="5" t="s">
        <v>3</v>
      </c>
      <c r="B8" s="6" t="s">
        <v>117</v>
      </c>
      <c r="C8" s="6" t="s">
        <v>132</v>
      </c>
      <c r="D8" s="6" t="s">
        <v>34</v>
      </c>
      <c r="E8" s="6" t="s">
        <v>119</v>
      </c>
      <c r="F8" s="5" t="s">
        <v>133</v>
      </c>
      <c r="G8" s="5" t="s">
        <v>36</v>
      </c>
      <c r="H8" s="5" t="s">
        <v>121</v>
      </c>
      <c r="I8" s="7" t="s">
        <v>134</v>
      </c>
    </row>
    <row r="9" spans="1:9" x14ac:dyDescent="0.25">
      <c r="A9" s="5" t="s">
        <v>3</v>
      </c>
      <c r="B9" s="8" t="s">
        <v>117</v>
      </c>
      <c r="C9" s="8" t="s">
        <v>132</v>
      </c>
      <c r="D9" s="8" t="s">
        <v>40</v>
      </c>
      <c r="E9" s="8" t="s">
        <v>119</v>
      </c>
      <c r="F9" s="5" t="s">
        <v>135</v>
      </c>
      <c r="G9" s="5" t="s">
        <v>41</v>
      </c>
      <c r="H9" s="5" t="s">
        <v>121</v>
      </c>
      <c r="I9" s="9" t="s">
        <v>124</v>
      </c>
    </row>
    <row r="10" spans="1:9" x14ac:dyDescent="0.25">
      <c r="A10" s="5" t="s">
        <v>3</v>
      </c>
      <c r="B10" s="6" t="s">
        <v>117</v>
      </c>
      <c r="C10" s="6" t="s">
        <v>132</v>
      </c>
      <c r="D10" s="6" t="s">
        <v>72</v>
      </c>
      <c r="E10" s="6" t="s">
        <v>65</v>
      </c>
      <c r="F10" s="5" t="s">
        <v>125</v>
      </c>
      <c r="G10" s="5" t="s">
        <v>66</v>
      </c>
      <c r="H10" s="5" t="s">
        <v>121</v>
      </c>
      <c r="I10" s="7" t="s">
        <v>136</v>
      </c>
    </row>
    <row r="11" spans="1:9" x14ac:dyDescent="0.25">
      <c r="A11" s="5" t="s">
        <v>3</v>
      </c>
      <c r="B11" s="8" t="s">
        <v>117</v>
      </c>
      <c r="C11" s="8" t="s">
        <v>137</v>
      </c>
      <c r="D11" s="8" t="s">
        <v>34</v>
      </c>
      <c r="E11" s="8" t="s">
        <v>119</v>
      </c>
      <c r="F11" s="5" t="s">
        <v>138</v>
      </c>
      <c r="G11" s="5" t="s">
        <v>36</v>
      </c>
      <c r="H11" s="5" t="s">
        <v>121</v>
      </c>
      <c r="I11" s="9" t="s">
        <v>139</v>
      </c>
    </row>
    <row r="12" spans="1:9" x14ac:dyDescent="0.25">
      <c r="A12" s="5" t="s">
        <v>3</v>
      </c>
      <c r="B12" s="6" t="s">
        <v>117</v>
      </c>
      <c r="C12" s="6" t="s">
        <v>137</v>
      </c>
      <c r="D12" s="6" t="s">
        <v>40</v>
      </c>
      <c r="E12" s="6" t="s">
        <v>119</v>
      </c>
      <c r="F12" s="5" t="s">
        <v>140</v>
      </c>
      <c r="G12" s="5" t="s">
        <v>41</v>
      </c>
      <c r="H12" s="5" t="s">
        <v>121</v>
      </c>
      <c r="I12" s="7" t="s">
        <v>124</v>
      </c>
    </row>
    <row r="13" spans="1:9" x14ac:dyDescent="0.25">
      <c r="A13" s="5" t="s">
        <v>3</v>
      </c>
      <c r="B13" s="8" t="s">
        <v>117</v>
      </c>
      <c r="C13" s="8" t="s">
        <v>137</v>
      </c>
      <c r="D13" s="8" t="s">
        <v>75</v>
      </c>
      <c r="E13" s="8" t="s">
        <v>65</v>
      </c>
      <c r="F13" s="5" t="s">
        <v>125</v>
      </c>
      <c r="G13" s="5" t="s">
        <v>66</v>
      </c>
      <c r="H13" s="5" t="s">
        <v>121</v>
      </c>
      <c r="I13" s="9" t="s">
        <v>141</v>
      </c>
    </row>
    <row r="14" spans="1:9" x14ac:dyDescent="0.25">
      <c r="A14" s="5" t="s">
        <v>3</v>
      </c>
      <c r="B14" s="6" t="s">
        <v>117</v>
      </c>
      <c r="C14" s="6" t="s">
        <v>142</v>
      </c>
      <c r="D14" s="6" t="s">
        <v>34</v>
      </c>
      <c r="E14" s="6" t="s">
        <v>119</v>
      </c>
      <c r="F14" s="5" t="s">
        <v>143</v>
      </c>
      <c r="G14" s="5" t="s">
        <v>36</v>
      </c>
      <c r="H14" s="5" t="s">
        <v>121</v>
      </c>
      <c r="I14" s="7" t="s">
        <v>144</v>
      </c>
    </row>
    <row r="15" spans="1:9" x14ac:dyDescent="0.25">
      <c r="A15" s="5" t="s">
        <v>3</v>
      </c>
      <c r="B15" s="8" t="s">
        <v>117</v>
      </c>
      <c r="C15" s="8" t="s">
        <v>142</v>
      </c>
      <c r="D15" s="8" t="s">
        <v>40</v>
      </c>
      <c r="E15" s="8" t="s">
        <v>119</v>
      </c>
      <c r="F15" s="5" t="s">
        <v>145</v>
      </c>
      <c r="G15" s="5" t="s">
        <v>41</v>
      </c>
      <c r="H15" s="5" t="s">
        <v>121</v>
      </c>
      <c r="I15" s="9" t="s">
        <v>124</v>
      </c>
    </row>
    <row r="16" spans="1:9" x14ac:dyDescent="0.25">
      <c r="A16" s="5" t="s">
        <v>3</v>
      </c>
      <c r="B16" s="6" t="s">
        <v>117</v>
      </c>
      <c r="C16" s="6" t="s">
        <v>142</v>
      </c>
      <c r="D16" s="6" t="s">
        <v>78</v>
      </c>
      <c r="E16" s="6" t="s">
        <v>65</v>
      </c>
      <c r="F16" s="5" t="s">
        <v>125</v>
      </c>
      <c r="G16" s="5" t="s">
        <v>66</v>
      </c>
      <c r="H16" s="5" t="s">
        <v>121</v>
      </c>
      <c r="I16" s="7" t="s">
        <v>146</v>
      </c>
    </row>
    <row r="17" spans="1:9" x14ac:dyDescent="0.25">
      <c r="A17" s="5" t="s">
        <v>3</v>
      </c>
      <c r="B17" s="8" t="s">
        <v>117</v>
      </c>
      <c r="C17" s="8" t="s">
        <v>147</v>
      </c>
      <c r="D17" s="8" t="s">
        <v>34</v>
      </c>
      <c r="E17" s="8" t="s">
        <v>119</v>
      </c>
      <c r="F17" s="5" t="s">
        <v>148</v>
      </c>
      <c r="G17" s="5" t="s">
        <v>36</v>
      </c>
      <c r="H17" s="5" t="s">
        <v>121</v>
      </c>
      <c r="I17" s="9" t="s">
        <v>149</v>
      </c>
    </row>
    <row r="18" spans="1:9" x14ac:dyDescent="0.25">
      <c r="A18" s="5" t="s">
        <v>3</v>
      </c>
      <c r="B18" s="6" t="s">
        <v>117</v>
      </c>
      <c r="C18" s="6" t="s">
        <v>147</v>
      </c>
      <c r="D18" s="6" t="s">
        <v>40</v>
      </c>
      <c r="E18" s="6" t="s">
        <v>119</v>
      </c>
      <c r="F18" s="5" t="s">
        <v>150</v>
      </c>
      <c r="G18" s="5" t="s">
        <v>41</v>
      </c>
      <c r="H18" s="5" t="s">
        <v>121</v>
      </c>
      <c r="I18" s="7" t="s">
        <v>124</v>
      </c>
    </row>
    <row r="19" spans="1:9" x14ac:dyDescent="0.25">
      <c r="A19" s="5" t="s">
        <v>3</v>
      </c>
      <c r="B19" s="8" t="s">
        <v>117</v>
      </c>
      <c r="C19" s="8" t="s">
        <v>147</v>
      </c>
      <c r="D19" s="8" t="s">
        <v>81</v>
      </c>
      <c r="E19" s="8" t="s">
        <v>65</v>
      </c>
      <c r="F19" s="5" t="s">
        <v>125</v>
      </c>
      <c r="G19" s="5" t="s">
        <v>66</v>
      </c>
      <c r="H19" s="5" t="s">
        <v>121</v>
      </c>
      <c r="I19" s="9" t="s">
        <v>151</v>
      </c>
    </row>
    <row r="20" spans="1:9" x14ac:dyDescent="0.25">
      <c r="A20" s="5" t="s">
        <v>3</v>
      </c>
      <c r="B20" s="6" t="s">
        <v>152</v>
      </c>
      <c r="C20" s="6" t="s">
        <v>127</v>
      </c>
      <c r="D20" s="6" t="s">
        <v>44</v>
      </c>
      <c r="E20" s="6" t="s">
        <v>119</v>
      </c>
      <c r="F20" s="5" t="s">
        <v>153</v>
      </c>
      <c r="G20" s="5" t="s">
        <v>36</v>
      </c>
      <c r="H20" s="5" t="s">
        <v>121</v>
      </c>
      <c r="I20" s="7" t="s">
        <v>154</v>
      </c>
    </row>
    <row r="21" spans="1:9" x14ac:dyDescent="0.25">
      <c r="A21" s="5" t="s">
        <v>3</v>
      </c>
      <c r="B21" s="8" t="s">
        <v>152</v>
      </c>
      <c r="C21" s="8" t="s">
        <v>127</v>
      </c>
      <c r="D21" s="8" t="s">
        <v>83</v>
      </c>
      <c r="E21" s="8" t="s">
        <v>65</v>
      </c>
      <c r="F21" s="5" t="s">
        <v>125</v>
      </c>
      <c r="G21" s="5" t="s">
        <v>66</v>
      </c>
      <c r="H21" s="5" t="s">
        <v>121</v>
      </c>
      <c r="I21" s="9" t="s">
        <v>155</v>
      </c>
    </row>
    <row r="22" spans="1:9" x14ac:dyDescent="0.25">
      <c r="A22" s="5" t="s">
        <v>3</v>
      </c>
      <c r="B22" s="6" t="s">
        <v>152</v>
      </c>
      <c r="C22" s="6" t="s">
        <v>137</v>
      </c>
      <c r="D22" s="6" t="s">
        <v>44</v>
      </c>
      <c r="E22" s="6" t="s">
        <v>119</v>
      </c>
      <c r="F22" s="5" t="s">
        <v>156</v>
      </c>
      <c r="G22" s="5" t="s">
        <v>36</v>
      </c>
      <c r="H22" s="5" t="s">
        <v>121</v>
      </c>
      <c r="I22" s="7" t="s">
        <v>157</v>
      </c>
    </row>
    <row r="23" spans="1:9" x14ac:dyDescent="0.25">
      <c r="A23" s="5" t="s">
        <v>3</v>
      </c>
      <c r="B23" s="8" t="s">
        <v>152</v>
      </c>
      <c r="C23" s="8" t="s">
        <v>137</v>
      </c>
      <c r="D23" s="8" t="s">
        <v>85</v>
      </c>
      <c r="E23" s="8" t="s">
        <v>65</v>
      </c>
      <c r="F23" s="5" t="s">
        <v>125</v>
      </c>
      <c r="G23" s="5" t="s">
        <v>66</v>
      </c>
      <c r="H23" s="5" t="s">
        <v>121</v>
      </c>
      <c r="I23" s="9" t="s">
        <v>158</v>
      </c>
    </row>
    <row r="24" spans="1:9" x14ac:dyDescent="0.25">
      <c r="A24" s="5" t="s">
        <v>3</v>
      </c>
      <c r="B24" s="6" t="s">
        <v>159</v>
      </c>
      <c r="C24" s="6" t="s">
        <v>118</v>
      </c>
      <c r="D24" s="6" t="s">
        <v>46</v>
      </c>
      <c r="E24" s="6" t="s">
        <v>119</v>
      </c>
      <c r="F24" s="5" t="s">
        <v>160</v>
      </c>
      <c r="G24" s="5" t="s">
        <v>36</v>
      </c>
      <c r="H24" s="5" t="s">
        <v>121</v>
      </c>
      <c r="I24" s="7" t="s">
        <v>161</v>
      </c>
    </row>
    <row r="25" spans="1:9" x14ac:dyDescent="0.25">
      <c r="A25" s="5" t="s">
        <v>3</v>
      </c>
      <c r="B25" s="8" t="s">
        <v>159</v>
      </c>
      <c r="C25" s="8" t="s">
        <v>118</v>
      </c>
      <c r="D25" s="8" t="s">
        <v>87</v>
      </c>
      <c r="E25" s="8" t="s">
        <v>65</v>
      </c>
      <c r="F25" s="5" t="s">
        <v>125</v>
      </c>
      <c r="G25" s="5" t="s">
        <v>66</v>
      </c>
      <c r="H25" s="5" t="s">
        <v>121</v>
      </c>
      <c r="I25" s="9" t="s">
        <v>162</v>
      </c>
    </row>
    <row r="26" spans="1:9" x14ac:dyDescent="0.25">
      <c r="A26" s="5" t="s">
        <v>3</v>
      </c>
      <c r="B26" s="6" t="s">
        <v>159</v>
      </c>
      <c r="C26" s="6" t="s">
        <v>127</v>
      </c>
      <c r="D26" s="6" t="s">
        <v>46</v>
      </c>
      <c r="E26" s="6" t="s">
        <v>119</v>
      </c>
      <c r="F26" s="5" t="s">
        <v>163</v>
      </c>
      <c r="G26" s="5" t="s">
        <v>36</v>
      </c>
      <c r="H26" s="5" t="s">
        <v>121</v>
      </c>
      <c r="I26" s="7" t="s">
        <v>164</v>
      </c>
    </row>
    <row r="27" spans="1:9" x14ac:dyDescent="0.25">
      <c r="A27" s="5" t="s">
        <v>3</v>
      </c>
      <c r="B27" s="8" t="s">
        <v>159</v>
      </c>
      <c r="C27" s="8" t="s">
        <v>127</v>
      </c>
      <c r="D27" s="8" t="s">
        <v>89</v>
      </c>
      <c r="E27" s="8" t="s">
        <v>65</v>
      </c>
      <c r="F27" s="5" t="s">
        <v>125</v>
      </c>
      <c r="G27" s="5" t="s">
        <v>66</v>
      </c>
      <c r="H27" s="5" t="s">
        <v>121</v>
      </c>
      <c r="I27" s="9" t="s">
        <v>155</v>
      </c>
    </row>
    <row r="28" spans="1:9" x14ac:dyDescent="0.25">
      <c r="A28" s="5" t="s">
        <v>3</v>
      </c>
      <c r="B28" s="6" t="s">
        <v>159</v>
      </c>
      <c r="C28" s="6" t="s">
        <v>137</v>
      </c>
      <c r="D28" s="6" t="s">
        <v>46</v>
      </c>
      <c r="E28" s="6" t="s">
        <v>119</v>
      </c>
      <c r="F28" s="5" t="s">
        <v>165</v>
      </c>
      <c r="G28" s="5" t="s">
        <v>36</v>
      </c>
      <c r="H28" s="5" t="s">
        <v>121</v>
      </c>
      <c r="I28" s="7" t="s">
        <v>166</v>
      </c>
    </row>
    <row r="29" spans="1:9" x14ac:dyDescent="0.25">
      <c r="A29" s="5" t="s">
        <v>3</v>
      </c>
      <c r="B29" s="8" t="s">
        <v>159</v>
      </c>
      <c r="C29" s="8" t="s">
        <v>137</v>
      </c>
      <c r="D29" s="8" t="s">
        <v>90</v>
      </c>
      <c r="E29" s="8" t="s">
        <v>65</v>
      </c>
      <c r="F29" s="5" t="s">
        <v>125</v>
      </c>
      <c r="G29" s="5" t="s">
        <v>66</v>
      </c>
      <c r="H29" s="5" t="s">
        <v>121</v>
      </c>
      <c r="I29" s="9" t="s">
        <v>167</v>
      </c>
    </row>
    <row r="30" spans="1:9" x14ac:dyDescent="0.25">
      <c r="A30" s="5" t="s">
        <v>3</v>
      </c>
      <c r="B30" s="6" t="s">
        <v>168</v>
      </c>
      <c r="C30" s="6" t="s">
        <v>169</v>
      </c>
      <c r="D30" s="6" t="s">
        <v>91</v>
      </c>
      <c r="E30" s="6" t="s">
        <v>65</v>
      </c>
      <c r="F30" s="5" t="s">
        <v>125</v>
      </c>
      <c r="G30" s="5" t="s">
        <v>66</v>
      </c>
      <c r="H30" s="5" t="s">
        <v>121</v>
      </c>
      <c r="I30" s="7" t="s">
        <v>170</v>
      </c>
    </row>
    <row r="31" spans="1:9" x14ac:dyDescent="0.25">
      <c r="A31" s="5" t="s">
        <v>3</v>
      </c>
      <c r="B31" s="8" t="s">
        <v>168</v>
      </c>
      <c r="C31" s="8" t="s">
        <v>171</v>
      </c>
      <c r="D31" s="8" t="s">
        <v>94</v>
      </c>
      <c r="E31" s="8" t="s">
        <v>65</v>
      </c>
      <c r="F31" s="5" t="s">
        <v>125</v>
      </c>
      <c r="G31" s="5" t="s">
        <v>66</v>
      </c>
      <c r="H31" s="5" t="s">
        <v>121</v>
      </c>
      <c r="I31" s="9" t="s">
        <v>170</v>
      </c>
    </row>
    <row r="32" spans="1:9" x14ac:dyDescent="0.25">
      <c r="A32" s="5" t="s">
        <v>3</v>
      </c>
      <c r="B32" s="6" t="s">
        <v>168</v>
      </c>
      <c r="C32" s="6" t="s">
        <v>172</v>
      </c>
      <c r="D32" s="6" t="s">
        <v>95</v>
      </c>
      <c r="E32" s="6" t="s">
        <v>65</v>
      </c>
      <c r="F32" s="5" t="s">
        <v>125</v>
      </c>
      <c r="G32" s="5" t="s">
        <v>66</v>
      </c>
      <c r="H32" s="5" t="s">
        <v>121</v>
      </c>
      <c r="I32" s="7" t="s">
        <v>170</v>
      </c>
    </row>
    <row r="33" spans="1:9" x14ac:dyDescent="0.25">
      <c r="A33" s="5" t="s">
        <v>3</v>
      </c>
      <c r="B33" s="8" t="s">
        <v>173</v>
      </c>
      <c r="C33" s="8" t="s">
        <v>174</v>
      </c>
      <c r="D33" s="8" t="s">
        <v>97</v>
      </c>
      <c r="E33" s="8" t="s">
        <v>98</v>
      </c>
      <c r="F33" s="5" t="s">
        <v>125</v>
      </c>
      <c r="G33" s="5" t="s">
        <v>66</v>
      </c>
      <c r="H33" s="5" t="s">
        <v>121</v>
      </c>
      <c r="I33" s="9" t="s">
        <v>175</v>
      </c>
    </row>
    <row r="34" spans="1:9" x14ac:dyDescent="0.25">
      <c r="A34" s="5" t="s">
        <v>3</v>
      </c>
      <c r="B34" s="6" t="s">
        <v>173</v>
      </c>
      <c r="C34" s="6" t="s">
        <v>101</v>
      </c>
      <c r="D34" s="6" t="s">
        <v>101</v>
      </c>
      <c r="E34" s="6" t="s">
        <v>98</v>
      </c>
      <c r="F34" s="5" t="s">
        <v>125</v>
      </c>
      <c r="G34" s="5" t="s">
        <v>66</v>
      </c>
      <c r="H34" s="5" t="s">
        <v>121</v>
      </c>
      <c r="I34" s="7" t="s">
        <v>176</v>
      </c>
    </row>
  </sheetData>
  <sheetProtection sheet="1"/>
  <autoFilter ref="A1:I1"/>
  <dataValidations count="8">
    <dataValidation type="list" allowBlank="1" showErrorMessage="1" errorTitle="Invalid value" error="Value must be one of: BASE, PACKAGING, FINISHED_GOOD" sqref="E10:E34">
      <formula1>"BASE,PACKAGING,FINISHED_GOOD"</formula1>
    </dataValidation>
    <dataValidation type="list" allowBlank="1" showErrorMessage="1" errorTitle="Invalid value" error="Value must be one of: BASE, PACKAGING, FINISHED_GOOD" sqref="E2:E34">
      <formula1>"BASE,PACKAGING,FINISHED_GOOD"</formula1>
    </dataValidation>
    <dataValidation type="decimal" operator="greaterThan" allowBlank="1" showErrorMessage="1" errorTitle="Invalid number" error="Value must be a positive number." sqref="F10:F34">
      <formula1>0</formula1>
    </dataValidation>
    <dataValidation type="decimal" operator="greaterThan" allowBlank="1" showErrorMessage="1" errorTitle="Invalid number" error="Value must be a positive number." sqref="F2:F34">
      <formula1>0</formula1>
    </dataValidation>
    <dataValidation type="list" allowBlank="1" showErrorMessage="1" errorTitle="Invalid value" error="Value must be one of: g, kg, ml, L, pc, pack, bottle, tbsp" sqref="G10:G34">
      <formula1>"g,kg,ml,L,pc,pack,bottle,tbsp"</formula1>
    </dataValidation>
    <dataValidation type="list" allowBlank="1" showErrorMessage="1" errorTitle="Invalid value" error="Value must be one of: g, kg, ml, L, pc, pack, bottle, tbsp" sqref="G2:G34">
      <formula1>"g,kg,ml,L,pc,pack,bottle,tbsp"</formula1>
    </dataValidation>
    <dataValidation type="list" allowBlank="1" showErrorMessage="1" errorTitle="Invalid value" error="Value must be one of: YES, NO" sqref="H10:H34">
      <formula1>"YES,NO"</formula1>
    </dataValidation>
    <dataValidation type="list" allowBlank="1" showErrorMessage="1" errorTitle="Invalid value" error="Value must be one of: YES, NO" sqref="H2:H3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3" customWidth="1"/>
    <col min="6" max="6" width="21" customWidth="1"/>
    <col min="7" max="7" width="14" customWidth="1"/>
    <col min="8" max="8" width="22" customWidth="1"/>
    <col min="9" max="9" width="40" customWidth="1"/>
  </cols>
  <sheetData>
    <row r="1" spans="1:9" x14ac:dyDescent="0.25">
      <c r="A1" s="4" t="s">
        <v>27</v>
      </c>
      <c r="B1" s="4" t="s">
        <v>111</v>
      </c>
      <c r="C1" s="4" t="s">
        <v>112</v>
      </c>
      <c r="D1" s="4" t="s">
        <v>177</v>
      </c>
      <c r="E1" s="4" t="s">
        <v>28</v>
      </c>
      <c r="F1" s="4" t="s">
        <v>114</v>
      </c>
      <c r="G1" s="4" t="s">
        <v>115</v>
      </c>
      <c r="H1" s="4" t="s">
        <v>116</v>
      </c>
      <c r="I1" s="4" t="s">
        <v>33</v>
      </c>
    </row>
    <row r="2" spans="1:9" x14ac:dyDescent="0.25">
      <c r="A2" s="5" t="s">
        <v>3</v>
      </c>
      <c r="B2" s="6" t="s">
        <v>117</v>
      </c>
      <c r="C2" s="6" t="s">
        <v>118</v>
      </c>
      <c r="D2" s="6" t="s">
        <v>178</v>
      </c>
      <c r="E2" s="6" t="s">
        <v>48</v>
      </c>
      <c r="F2" s="5" t="s">
        <v>179</v>
      </c>
      <c r="G2" s="5" t="s">
        <v>50</v>
      </c>
      <c r="H2" s="5" t="s">
        <v>121</v>
      </c>
      <c r="I2" s="7" t="s">
        <v>180</v>
      </c>
    </row>
    <row r="3" spans="1:9" x14ac:dyDescent="0.25">
      <c r="A3" s="5" t="s">
        <v>3</v>
      </c>
      <c r="B3" s="8" t="s">
        <v>117</v>
      </c>
      <c r="C3" s="8" t="s">
        <v>118</v>
      </c>
      <c r="D3" s="8" t="s">
        <v>181</v>
      </c>
      <c r="E3" s="8" t="s">
        <v>54</v>
      </c>
      <c r="F3" s="5" t="s">
        <v>179</v>
      </c>
      <c r="G3" s="5" t="s">
        <v>50</v>
      </c>
      <c r="H3" s="5" t="s">
        <v>121</v>
      </c>
      <c r="I3" s="9" t="s">
        <v>182</v>
      </c>
    </row>
    <row r="4" spans="1:9" x14ac:dyDescent="0.25">
      <c r="A4" s="5" t="s">
        <v>3</v>
      </c>
      <c r="B4" s="6" t="s">
        <v>117</v>
      </c>
      <c r="C4" s="6" t="s">
        <v>118</v>
      </c>
      <c r="D4" s="6" t="s">
        <v>183</v>
      </c>
      <c r="E4" s="6" t="s">
        <v>56</v>
      </c>
      <c r="F4" s="5" t="s">
        <v>179</v>
      </c>
      <c r="G4" s="5" t="s">
        <v>50</v>
      </c>
      <c r="H4" s="5" t="s">
        <v>121</v>
      </c>
      <c r="I4" s="7" t="s">
        <v>182</v>
      </c>
    </row>
    <row r="5" spans="1:9" x14ac:dyDescent="0.25">
      <c r="A5" s="5" t="s">
        <v>3</v>
      </c>
      <c r="B5" s="8" t="s">
        <v>117</v>
      </c>
      <c r="C5" s="8" t="s">
        <v>118</v>
      </c>
      <c r="D5" s="8" t="s">
        <v>184</v>
      </c>
      <c r="E5" s="8" t="s">
        <v>58</v>
      </c>
      <c r="F5" s="5" t="s">
        <v>179</v>
      </c>
      <c r="G5" s="5" t="s">
        <v>50</v>
      </c>
      <c r="H5" s="5" t="s">
        <v>121</v>
      </c>
      <c r="I5" s="9" t="s">
        <v>182</v>
      </c>
    </row>
    <row r="6" spans="1:9" x14ac:dyDescent="0.25">
      <c r="A6" s="5" t="s">
        <v>3</v>
      </c>
      <c r="B6" s="6" t="s">
        <v>117</v>
      </c>
      <c r="C6" s="6" t="s">
        <v>118</v>
      </c>
      <c r="D6" s="6" t="s">
        <v>185</v>
      </c>
      <c r="E6" s="6" t="s">
        <v>60</v>
      </c>
      <c r="F6" s="5" t="s">
        <v>179</v>
      </c>
      <c r="G6" s="5" t="s">
        <v>50</v>
      </c>
      <c r="H6" s="5" t="s">
        <v>121</v>
      </c>
      <c r="I6" s="7" t="s">
        <v>182</v>
      </c>
    </row>
    <row r="7" spans="1:9" x14ac:dyDescent="0.25">
      <c r="A7" s="5" t="s">
        <v>3</v>
      </c>
      <c r="B7" s="8" t="s">
        <v>117</v>
      </c>
      <c r="C7" s="8" t="s">
        <v>118</v>
      </c>
      <c r="D7" s="8" t="s">
        <v>186</v>
      </c>
      <c r="E7" s="8" t="s">
        <v>61</v>
      </c>
      <c r="F7" s="5" t="s">
        <v>179</v>
      </c>
      <c r="G7" s="5" t="s">
        <v>50</v>
      </c>
      <c r="H7" s="5" t="s">
        <v>121</v>
      </c>
      <c r="I7" s="9" t="s">
        <v>182</v>
      </c>
    </row>
    <row r="8" spans="1:9" x14ac:dyDescent="0.25">
      <c r="A8" s="5" t="s">
        <v>3</v>
      </c>
      <c r="B8" s="6" t="s">
        <v>117</v>
      </c>
      <c r="C8" s="6" t="s">
        <v>118</v>
      </c>
      <c r="D8" s="6" t="s">
        <v>187</v>
      </c>
      <c r="E8" s="6" t="s">
        <v>62</v>
      </c>
      <c r="F8" s="5" t="s">
        <v>179</v>
      </c>
      <c r="G8" s="5" t="s">
        <v>50</v>
      </c>
      <c r="H8" s="5" t="s">
        <v>121</v>
      </c>
      <c r="I8" s="7" t="s">
        <v>182</v>
      </c>
    </row>
    <row r="9" spans="1:9" x14ac:dyDescent="0.25">
      <c r="A9" s="5" t="s">
        <v>3</v>
      </c>
      <c r="B9" s="8" t="s">
        <v>117</v>
      </c>
      <c r="C9" s="8" t="s">
        <v>118</v>
      </c>
      <c r="D9" s="8" t="s">
        <v>188</v>
      </c>
      <c r="E9" s="8" t="s">
        <v>63</v>
      </c>
      <c r="F9" s="5" t="s">
        <v>179</v>
      </c>
      <c r="G9" s="5" t="s">
        <v>50</v>
      </c>
      <c r="H9" s="5" t="s">
        <v>121</v>
      </c>
      <c r="I9" s="9" t="s">
        <v>182</v>
      </c>
    </row>
    <row r="10" spans="1:9" x14ac:dyDescent="0.25">
      <c r="A10" s="5" t="s">
        <v>3</v>
      </c>
      <c r="B10" s="6" t="s">
        <v>117</v>
      </c>
      <c r="C10" s="6" t="s">
        <v>127</v>
      </c>
      <c r="D10" s="6" t="s">
        <v>178</v>
      </c>
      <c r="E10" s="6" t="s">
        <v>48</v>
      </c>
      <c r="F10" s="5" t="s">
        <v>125</v>
      </c>
      <c r="G10" s="5" t="s">
        <v>50</v>
      </c>
      <c r="H10" s="5" t="s">
        <v>121</v>
      </c>
      <c r="I10" s="7" t="s">
        <v>182</v>
      </c>
    </row>
    <row r="11" spans="1:9" x14ac:dyDescent="0.25">
      <c r="A11" s="5" t="s">
        <v>3</v>
      </c>
      <c r="B11" s="8" t="s">
        <v>117</v>
      </c>
      <c r="C11" s="8" t="s">
        <v>127</v>
      </c>
      <c r="D11" s="8" t="s">
        <v>181</v>
      </c>
      <c r="E11" s="8" t="s">
        <v>54</v>
      </c>
      <c r="F11" s="5" t="s">
        <v>125</v>
      </c>
      <c r="G11" s="5" t="s">
        <v>50</v>
      </c>
      <c r="H11" s="5" t="s">
        <v>121</v>
      </c>
      <c r="I11" s="9" t="s">
        <v>182</v>
      </c>
    </row>
    <row r="12" spans="1:9" x14ac:dyDescent="0.25">
      <c r="A12" s="5" t="s">
        <v>3</v>
      </c>
      <c r="B12" s="6" t="s">
        <v>117</v>
      </c>
      <c r="C12" s="6" t="s">
        <v>127</v>
      </c>
      <c r="D12" s="6" t="s">
        <v>183</v>
      </c>
      <c r="E12" s="6" t="s">
        <v>56</v>
      </c>
      <c r="F12" s="5" t="s">
        <v>125</v>
      </c>
      <c r="G12" s="5" t="s">
        <v>50</v>
      </c>
      <c r="H12" s="5" t="s">
        <v>121</v>
      </c>
      <c r="I12" s="7" t="s">
        <v>182</v>
      </c>
    </row>
    <row r="13" spans="1:9" x14ac:dyDescent="0.25">
      <c r="A13" s="5" t="s">
        <v>3</v>
      </c>
      <c r="B13" s="8" t="s">
        <v>117</v>
      </c>
      <c r="C13" s="8" t="s">
        <v>127</v>
      </c>
      <c r="D13" s="8" t="s">
        <v>184</v>
      </c>
      <c r="E13" s="8" t="s">
        <v>58</v>
      </c>
      <c r="F13" s="5" t="s">
        <v>125</v>
      </c>
      <c r="G13" s="5" t="s">
        <v>50</v>
      </c>
      <c r="H13" s="5" t="s">
        <v>121</v>
      </c>
      <c r="I13" s="9" t="s">
        <v>182</v>
      </c>
    </row>
    <row r="14" spans="1:9" x14ac:dyDescent="0.25">
      <c r="A14" s="5" t="s">
        <v>3</v>
      </c>
      <c r="B14" s="6" t="s">
        <v>117</v>
      </c>
      <c r="C14" s="6" t="s">
        <v>127</v>
      </c>
      <c r="D14" s="6" t="s">
        <v>185</v>
      </c>
      <c r="E14" s="6" t="s">
        <v>60</v>
      </c>
      <c r="F14" s="5" t="s">
        <v>125</v>
      </c>
      <c r="G14" s="5" t="s">
        <v>50</v>
      </c>
      <c r="H14" s="5" t="s">
        <v>121</v>
      </c>
      <c r="I14" s="7" t="s">
        <v>182</v>
      </c>
    </row>
    <row r="15" spans="1:9" x14ac:dyDescent="0.25">
      <c r="A15" s="5" t="s">
        <v>3</v>
      </c>
      <c r="B15" s="8" t="s">
        <v>117</v>
      </c>
      <c r="C15" s="8" t="s">
        <v>127</v>
      </c>
      <c r="D15" s="8" t="s">
        <v>186</v>
      </c>
      <c r="E15" s="8" t="s">
        <v>61</v>
      </c>
      <c r="F15" s="5" t="s">
        <v>125</v>
      </c>
      <c r="G15" s="5" t="s">
        <v>50</v>
      </c>
      <c r="H15" s="5" t="s">
        <v>121</v>
      </c>
      <c r="I15" s="9" t="s">
        <v>182</v>
      </c>
    </row>
    <row r="16" spans="1:9" x14ac:dyDescent="0.25">
      <c r="A16" s="5" t="s">
        <v>3</v>
      </c>
      <c r="B16" s="6" t="s">
        <v>117</v>
      </c>
      <c r="C16" s="6" t="s">
        <v>127</v>
      </c>
      <c r="D16" s="6" t="s">
        <v>187</v>
      </c>
      <c r="E16" s="6" t="s">
        <v>62</v>
      </c>
      <c r="F16" s="5" t="s">
        <v>125</v>
      </c>
      <c r="G16" s="5" t="s">
        <v>50</v>
      </c>
      <c r="H16" s="5" t="s">
        <v>121</v>
      </c>
      <c r="I16" s="7" t="s">
        <v>182</v>
      </c>
    </row>
    <row r="17" spans="1:9" x14ac:dyDescent="0.25">
      <c r="A17" s="5" t="s">
        <v>3</v>
      </c>
      <c r="B17" s="8" t="s">
        <v>117</v>
      </c>
      <c r="C17" s="8" t="s">
        <v>127</v>
      </c>
      <c r="D17" s="8" t="s">
        <v>188</v>
      </c>
      <c r="E17" s="8" t="s">
        <v>63</v>
      </c>
      <c r="F17" s="5" t="s">
        <v>125</v>
      </c>
      <c r="G17" s="5" t="s">
        <v>50</v>
      </c>
      <c r="H17" s="5" t="s">
        <v>121</v>
      </c>
      <c r="I17" s="9" t="s">
        <v>182</v>
      </c>
    </row>
    <row r="18" spans="1:9" x14ac:dyDescent="0.25">
      <c r="A18" s="5" t="s">
        <v>3</v>
      </c>
      <c r="B18" s="6" t="s">
        <v>117</v>
      </c>
      <c r="C18" s="6" t="s">
        <v>132</v>
      </c>
      <c r="D18" s="6" t="s">
        <v>178</v>
      </c>
      <c r="E18" s="6" t="s">
        <v>48</v>
      </c>
      <c r="F18" s="5" t="s">
        <v>189</v>
      </c>
      <c r="G18" s="5" t="s">
        <v>50</v>
      </c>
      <c r="H18" s="5" t="s">
        <v>121</v>
      </c>
      <c r="I18" s="7" t="s">
        <v>182</v>
      </c>
    </row>
    <row r="19" spans="1:9" x14ac:dyDescent="0.25">
      <c r="A19" s="5" t="s">
        <v>3</v>
      </c>
      <c r="B19" s="8" t="s">
        <v>117</v>
      </c>
      <c r="C19" s="8" t="s">
        <v>132</v>
      </c>
      <c r="D19" s="8" t="s">
        <v>181</v>
      </c>
      <c r="E19" s="8" t="s">
        <v>54</v>
      </c>
      <c r="F19" s="5" t="s">
        <v>189</v>
      </c>
      <c r="G19" s="5" t="s">
        <v>50</v>
      </c>
      <c r="H19" s="5" t="s">
        <v>121</v>
      </c>
      <c r="I19" s="9" t="s">
        <v>182</v>
      </c>
    </row>
    <row r="20" spans="1:9" x14ac:dyDescent="0.25">
      <c r="A20" s="5" t="s">
        <v>3</v>
      </c>
      <c r="B20" s="6" t="s">
        <v>117</v>
      </c>
      <c r="C20" s="6" t="s">
        <v>132</v>
      </c>
      <c r="D20" s="6" t="s">
        <v>183</v>
      </c>
      <c r="E20" s="6" t="s">
        <v>56</v>
      </c>
      <c r="F20" s="5" t="s">
        <v>189</v>
      </c>
      <c r="G20" s="5" t="s">
        <v>50</v>
      </c>
      <c r="H20" s="5" t="s">
        <v>121</v>
      </c>
      <c r="I20" s="7" t="s">
        <v>182</v>
      </c>
    </row>
    <row r="21" spans="1:9" x14ac:dyDescent="0.25">
      <c r="A21" s="5" t="s">
        <v>3</v>
      </c>
      <c r="B21" s="8" t="s">
        <v>117</v>
      </c>
      <c r="C21" s="8" t="s">
        <v>132</v>
      </c>
      <c r="D21" s="8" t="s">
        <v>184</v>
      </c>
      <c r="E21" s="8" t="s">
        <v>58</v>
      </c>
      <c r="F21" s="5" t="s">
        <v>189</v>
      </c>
      <c r="G21" s="5" t="s">
        <v>50</v>
      </c>
      <c r="H21" s="5" t="s">
        <v>121</v>
      </c>
      <c r="I21" s="9" t="s">
        <v>182</v>
      </c>
    </row>
    <row r="22" spans="1:9" x14ac:dyDescent="0.25">
      <c r="A22" s="5" t="s">
        <v>3</v>
      </c>
      <c r="B22" s="6" t="s">
        <v>117</v>
      </c>
      <c r="C22" s="6" t="s">
        <v>132</v>
      </c>
      <c r="D22" s="6" t="s">
        <v>185</v>
      </c>
      <c r="E22" s="6" t="s">
        <v>60</v>
      </c>
      <c r="F22" s="5" t="s">
        <v>189</v>
      </c>
      <c r="G22" s="5" t="s">
        <v>50</v>
      </c>
      <c r="H22" s="5" t="s">
        <v>121</v>
      </c>
      <c r="I22" s="7" t="s">
        <v>182</v>
      </c>
    </row>
    <row r="23" spans="1:9" x14ac:dyDescent="0.25">
      <c r="A23" s="5" t="s">
        <v>3</v>
      </c>
      <c r="B23" s="8" t="s">
        <v>117</v>
      </c>
      <c r="C23" s="8" t="s">
        <v>132</v>
      </c>
      <c r="D23" s="8" t="s">
        <v>186</v>
      </c>
      <c r="E23" s="8" t="s">
        <v>61</v>
      </c>
      <c r="F23" s="5" t="s">
        <v>189</v>
      </c>
      <c r="G23" s="5" t="s">
        <v>50</v>
      </c>
      <c r="H23" s="5" t="s">
        <v>121</v>
      </c>
      <c r="I23" s="9" t="s">
        <v>182</v>
      </c>
    </row>
    <row r="24" spans="1:9" x14ac:dyDescent="0.25">
      <c r="A24" s="5" t="s">
        <v>3</v>
      </c>
      <c r="B24" s="6" t="s">
        <v>117</v>
      </c>
      <c r="C24" s="6" t="s">
        <v>132</v>
      </c>
      <c r="D24" s="6" t="s">
        <v>187</v>
      </c>
      <c r="E24" s="6" t="s">
        <v>62</v>
      </c>
      <c r="F24" s="5" t="s">
        <v>189</v>
      </c>
      <c r="G24" s="5" t="s">
        <v>50</v>
      </c>
      <c r="H24" s="5" t="s">
        <v>121</v>
      </c>
      <c r="I24" s="7" t="s">
        <v>182</v>
      </c>
    </row>
    <row r="25" spans="1:9" x14ac:dyDescent="0.25">
      <c r="A25" s="5" t="s">
        <v>3</v>
      </c>
      <c r="B25" s="8" t="s">
        <v>117</v>
      </c>
      <c r="C25" s="8" t="s">
        <v>132</v>
      </c>
      <c r="D25" s="8" t="s">
        <v>188</v>
      </c>
      <c r="E25" s="8" t="s">
        <v>63</v>
      </c>
      <c r="F25" s="5" t="s">
        <v>189</v>
      </c>
      <c r="G25" s="5" t="s">
        <v>50</v>
      </c>
      <c r="H25" s="5" t="s">
        <v>121</v>
      </c>
      <c r="I25" s="9" t="s">
        <v>182</v>
      </c>
    </row>
    <row r="26" spans="1:9" x14ac:dyDescent="0.25">
      <c r="A26" s="5" t="s">
        <v>3</v>
      </c>
      <c r="B26" s="6" t="s">
        <v>117</v>
      </c>
      <c r="C26" s="6" t="s">
        <v>137</v>
      </c>
      <c r="D26" s="6" t="s">
        <v>178</v>
      </c>
      <c r="E26" s="6" t="s">
        <v>48</v>
      </c>
      <c r="F26" s="5" t="s">
        <v>190</v>
      </c>
      <c r="G26" s="5" t="s">
        <v>50</v>
      </c>
      <c r="H26" s="5" t="s">
        <v>121</v>
      </c>
      <c r="I26" s="7" t="s">
        <v>182</v>
      </c>
    </row>
    <row r="27" spans="1:9" x14ac:dyDescent="0.25">
      <c r="A27" s="5" t="s">
        <v>3</v>
      </c>
      <c r="B27" s="8" t="s">
        <v>117</v>
      </c>
      <c r="C27" s="8" t="s">
        <v>137</v>
      </c>
      <c r="D27" s="8" t="s">
        <v>181</v>
      </c>
      <c r="E27" s="8" t="s">
        <v>54</v>
      </c>
      <c r="F27" s="5" t="s">
        <v>190</v>
      </c>
      <c r="G27" s="5" t="s">
        <v>50</v>
      </c>
      <c r="H27" s="5" t="s">
        <v>121</v>
      </c>
      <c r="I27" s="9" t="s">
        <v>182</v>
      </c>
    </row>
    <row r="28" spans="1:9" x14ac:dyDescent="0.25">
      <c r="A28" s="5" t="s">
        <v>3</v>
      </c>
      <c r="B28" s="6" t="s">
        <v>117</v>
      </c>
      <c r="C28" s="6" t="s">
        <v>137</v>
      </c>
      <c r="D28" s="6" t="s">
        <v>183</v>
      </c>
      <c r="E28" s="6" t="s">
        <v>56</v>
      </c>
      <c r="F28" s="5" t="s">
        <v>190</v>
      </c>
      <c r="G28" s="5" t="s">
        <v>50</v>
      </c>
      <c r="H28" s="5" t="s">
        <v>121</v>
      </c>
      <c r="I28" s="7" t="s">
        <v>182</v>
      </c>
    </row>
    <row r="29" spans="1:9" x14ac:dyDescent="0.25">
      <c r="A29" s="5" t="s">
        <v>3</v>
      </c>
      <c r="B29" s="8" t="s">
        <v>117</v>
      </c>
      <c r="C29" s="8" t="s">
        <v>137</v>
      </c>
      <c r="D29" s="8" t="s">
        <v>184</v>
      </c>
      <c r="E29" s="8" t="s">
        <v>58</v>
      </c>
      <c r="F29" s="5" t="s">
        <v>190</v>
      </c>
      <c r="G29" s="5" t="s">
        <v>50</v>
      </c>
      <c r="H29" s="5" t="s">
        <v>121</v>
      </c>
      <c r="I29" s="9" t="s">
        <v>182</v>
      </c>
    </row>
    <row r="30" spans="1:9" x14ac:dyDescent="0.25">
      <c r="A30" s="5" t="s">
        <v>3</v>
      </c>
      <c r="B30" s="6" t="s">
        <v>117</v>
      </c>
      <c r="C30" s="6" t="s">
        <v>137</v>
      </c>
      <c r="D30" s="6" t="s">
        <v>185</v>
      </c>
      <c r="E30" s="6" t="s">
        <v>60</v>
      </c>
      <c r="F30" s="5" t="s">
        <v>190</v>
      </c>
      <c r="G30" s="5" t="s">
        <v>50</v>
      </c>
      <c r="H30" s="5" t="s">
        <v>121</v>
      </c>
      <c r="I30" s="7" t="s">
        <v>182</v>
      </c>
    </row>
    <row r="31" spans="1:9" x14ac:dyDescent="0.25">
      <c r="A31" s="5" t="s">
        <v>3</v>
      </c>
      <c r="B31" s="8" t="s">
        <v>117</v>
      </c>
      <c r="C31" s="8" t="s">
        <v>137</v>
      </c>
      <c r="D31" s="8" t="s">
        <v>186</v>
      </c>
      <c r="E31" s="8" t="s">
        <v>61</v>
      </c>
      <c r="F31" s="5" t="s">
        <v>190</v>
      </c>
      <c r="G31" s="5" t="s">
        <v>50</v>
      </c>
      <c r="H31" s="5" t="s">
        <v>121</v>
      </c>
      <c r="I31" s="9" t="s">
        <v>182</v>
      </c>
    </row>
    <row r="32" spans="1:9" x14ac:dyDescent="0.25">
      <c r="A32" s="5" t="s">
        <v>3</v>
      </c>
      <c r="B32" s="6" t="s">
        <v>117</v>
      </c>
      <c r="C32" s="6" t="s">
        <v>137</v>
      </c>
      <c r="D32" s="6" t="s">
        <v>187</v>
      </c>
      <c r="E32" s="6" t="s">
        <v>62</v>
      </c>
      <c r="F32" s="5" t="s">
        <v>190</v>
      </c>
      <c r="G32" s="5" t="s">
        <v>50</v>
      </c>
      <c r="H32" s="5" t="s">
        <v>121</v>
      </c>
      <c r="I32" s="7" t="s">
        <v>182</v>
      </c>
    </row>
    <row r="33" spans="1:9" x14ac:dyDescent="0.25">
      <c r="A33" s="5" t="s">
        <v>3</v>
      </c>
      <c r="B33" s="8" t="s">
        <v>117</v>
      </c>
      <c r="C33" s="8" t="s">
        <v>137</v>
      </c>
      <c r="D33" s="8" t="s">
        <v>188</v>
      </c>
      <c r="E33" s="8" t="s">
        <v>63</v>
      </c>
      <c r="F33" s="5" t="s">
        <v>190</v>
      </c>
      <c r="G33" s="5" t="s">
        <v>50</v>
      </c>
      <c r="H33" s="5" t="s">
        <v>121</v>
      </c>
      <c r="I33" s="9" t="s">
        <v>182</v>
      </c>
    </row>
    <row r="34" spans="1:9" x14ac:dyDescent="0.25">
      <c r="A34" s="5" t="s">
        <v>3</v>
      </c>
      <c r="B34" s="6" t="s">
        <v>117</v>
      </c>
      <c r="C34" s="6" t="s">
        <v>142</v>
      </c>
      <c r="D34" s="6" t="s">
        <v>178</v>
      </c>
      <c r="E34" s="6" t="s">
        <v>48</v>
      </c>
      <c r="F34" s="5" t="s">
        <v>191</v>
      </c>
      <c r="G34" s="5" t="s">
        <v>50</v>
      </c>
      <c r="H34" s="5" t="s">
        <v>121</v>
      </c>
      <c r="I34" s="7" t="s">
        <v>182</v>
      </c>
    </row>
    <row r="35" spans="1:9" x14ac:dyDescent="0.25">
      <c r="A35" s="5" t="s">
        <v>3</v>
      </c>
      <c r="B35" s="8" t="s">
        <v>117</v>
      </c>
      <c r="C35" s="8" t="s">
        <v>142</v>
      </c>
      <c r="D35" s="8" t="s">
        <v>181</v>
      </c>
      <c r="E35" s="8" t="s">
        <v>54</v>
      </c>
      <c r="F35" s="5" t="s">
        <v>191</v>
      </c>
      <c r="G35" s="5" t="s">
        <v>50</v>
      </c>
      <c r="H35" s="5" t="s">
        <v>121</v>
      </c>
      <c r="I35" s="9" t="s">
        <v>182</v>
      </c>
    </row>
    <row r="36" spans="1:9" x14ac:dyDescent="0.25">
      <c r="A36" s="5" t="s">
        <v>3</v>
      </c>
      <c r="B36" s="6" t="s">
        <v>117</v>
      </c>
      <c r="C36" s="6" t="s">
        <v>142</v>
      </c>
      <c r="D36" s="6" t="s">
        <v>183</v>
      </c>
      <c r="E36" s="6" t="s">
        <v>56</v>
      </c>
      <c r="F36" s="5" t="s">
        <v>191</v>
      </c>
      <c r="G36" s="5" t="s">
        <v>50</v>
      </c>
      <c r="H36" s="5" t="s">
        <v>121</v>
      </c>
      <c r="I36" s="7" t="s">
        <v>182</v>
      </c>
    </row>
    <row r="37" spans="1:9" x14ac:dyDescent="0.25">
      <c r="A37" s="5" t="s">
        <v>3</v>
      </c>
      <c r="B37" s="8" t="s">
        <v>117</v>
      </c>
      <c r="C37" s="8" t="s">
        <v>142</v>
      </c>
      <c r="D37" s="8" t="s">
        <v>184</v>
      </c>
      <c r="E37" s="8" t="s">
        <v>58</v>
      </c>
      <c r="F37" s="5" t="s">
        <v>191</v>
      </c>
      <c r="G37" s="5" t="s">
        <v>50</v>
      </c>
      <c r="H37" s="5" t="s">
        <v>121</v>
      </c>
      <c r="I37" s="9" t="s">
        <v>182</v>
      </c>
    </row>
    <row r="38" spans="1:9" x14ac:dyDescent="0.25">
      <c r="A38" s="5" t="s">
        <v>3</v>
      </c>
      <c r="B38" s="6" t="s">
        <v>117</v>
      </c>
      <c r="C38" s="6" t="s">
        <v>142</v>
      </c>
      <c r="D38" s="6" t="s">
        <v>185</v>
      </c>
      <c r="E38" s="6" t="s">
        <v>60</v>
      </c>
      <c r="F38" s="5" t="s">
        <v>191</v>
      </c>
      <c r="G38" s="5" t="s">
        <v>50</v>
      </c>
      <c r="H38" s="5" t="s">
        <v>121</v>
      </c>
      <c r="I38" s="7" t="s">
        <v>182</v>
      </c>
    </row>
    <row r="39" spans="1:9" x14ac:dyDescent="0.25">
      <c r="A39" s="5" t="s">
        <v>3</v>
      </c>
      <c r="B39" s="8" t="s">
        <v>117</v>
      </c>
      <c r="C39" s="8" t="s">
        <v>142</v>
      </c>
      <c r="D39" s="8" t="s">
        <v>186</v>
      </c>
      <c r="E39" s="8" t="s">
        <v>61</v>
      </c>
      <c r="F39" s="5" t="s">
        <v>191</v>
      </c>
      <c r="G39" s="5" t="s">
        <v>50</v>
      </c>
      <c r="H39" s="5" t="s">
        <v>121</v>
      </c>
      <c r="I39" s="9" t="s">
        <v>182</v>
      </c>
    </row>
    <row r="40" spans="1:9" x14ac:dyDescent="0.25">
      <c r="A40" s="5" t="s">
        <v>3</v>
      </c>
      <c r="B40" s="6" t="s">
        <v>117</v>
      </c>
      <c r="C40" s="6" t="s">
        <v>142</v>
      </c>
      <c r="D40" s="6" t="s">
        <v>187</v>
      </c>
      <c r="E40" s="6" t="s">
        <v>62</v>
      </c>
      <c r="F40" s="5" t="s">
        <v>191</v>
      </c>
      <c r="G40" s="5" t="s">
        <v>50</v>
      </c>
      <c r="H40" s="5" t="s">
        <v>121</v>
      </c>
      <c r="I40" s="7" t="s">
        <v>182</v>
      </c>
    </row>
    <row r="41" spans="1:9" x14ac:dyDescent="0.25">
      <c r="A41" s="5" t="s">
        <v>3</v>
      </c>
      <c r="B41" s="8" t="s">
        <v>117</v>
      </c>
      <c r="C41" s="8" t="s">
        <v>142</v>
      </c>
      <c r="D41" s="8" t="s">
        <v>188</v>
      </c>
      <c r="E41" s="8" t="s">
        <v>63</v>
      </c>
      <c r="F41" s="5" t="s">
        <v>191</v>
      </c>
      <c r="G41" s="5" t="s">
        <v>50</v>
      </c>
      <c r="H41" s="5" t="s">
        <v>121</v>
      </c>
      <c r="I41" s="9" t="s">
        <v>182</v>
      </c>
    </row>
    <row r="42" spans="1:9" x14ac:dyDescent="0.25">
      <c r="A42" s="5" t="s">
        <v>3</v>
      </c>
      <c r="B42" s="6" t="s">
        <v>117</v>
      </c>
      <c r="C42" s="6" t="s">
        <v>147</v>
      </c>
      <c r="D42" s="6" t="s">
        <v>178</v>
      </c>
      <c r="E42" s="6" t="s">
        <v>48</v>
      </c>
      <c r="F42" s="5" t="s">
        <v>192</v>
      </c>
      <c r="G42" s="5" t="s">
        <v>50</v>
      </c>
      <c r="H42" s="5" t="s">
        <v>121</v>
      </c>
      <c r="I42" s="7" t="s">
        <v>182</v>
      </c>
    </row>
    <row r="43" spans="1:9" x14ac:dyDescent="0.25">
      <c r="A43" s="5" t="s">
        <v>3</v>
      </c>
      <c r="B43" s="8" t="s">
        <v>117</v>
      </c>
      <c r="C43" s="8" t="s">
        <v>147</v>
      </c>
      <c r="D43" s="8" t="s">
        <v>181</v>
      </c>
      <c r="E43" s="8" t="s">
        <v>54</v>
      </c>
      <c r="F43" s="5" t="s">
        <v>192</v>
      </c>
      <c r="G43" s="5" t="s">
        <v>50</v>
      </c>
      <c r="H43" s="5" t="s">
        <v>121</v>
      </c>
      <c r="I43" s="9" t="s">
        <v>182</v>
      </c>
    </row>
    <row r="44" spans="1:9" x14ac:dyDescent="0.25">
      <c r="A44" s="5" t="s">
        <v>3</v>
      </c>
      <c r="B44" s="6" t="s">
        <v>117</v>
      </c>
      <c r="C44" s="6" t="s">
        <v>147</v>
      </c>
      <c r="D44" s="6" t="s">
        <v>183</v>
      </c>
      <c r="E44" s="6" t="s">
        <v>56</v>
      </c>
      <c r="F44" s="5" t="s">
        <v>192</v>
      </c>
      <c r="G44" s="5" t="s">
        <v>50</v>
      </c>
      <c r="H44" s="5" t="s">
        <v>121</v>
      </c>
      <c r="I44" s="7" t="s">
        <v>182</v>
      </c>
    </row>
    <row r="45" spans="1:9" x14ac:dyDescent="0.25">
      <c r="A45" s="5" t="s">
        <v>3</v>
      </c>
      <c r="B45" s="8" t="s">
        <v>117</v>
      </c>
      <c r="C45" s="8" t="s">
        <v>147</v>
      </c>
      <c r="D45" s="8" t="s">
        <v>184</v>
      </c>
      <c r="E45" s="8" t="s">
        <v>58</v>
      </c>
      <c r="F45" s="5" t="s">
        <v>192</v>
      </c>
      <c r="G45" s="5" t="s">
        <v>50</v>
      </c>
      <c r="H45" s="5" t="s">
        <v>121</v>
      </c>
      <c r="I45" s="9" t="s">
        <v>182</v>
      </c>
    </row>
    <row r="46" spans="1:9" x14ac:dyDescent="0.25">
      <c r="A46" s="5" t="s">
        <v>3</v>
      </c>
      <c r="B46" s="6" t="s">
        <v>117</v>
      </c>
      <c r="C46" s="6" t="s">
        <v>147</v>
      </c>
      <c r="D46" s="6" t="s">
        <v>185</v>
      </c>
      <c r="E46" s="6" t="s">
        <v>60</v>
      </c>
      <c r="F46" s="5" t="s">
        <v>192</v>
      </c>
      <c r="G46" s="5" t="s">
        <v>50</v>
      </c>
      <c r="H46" s="5" t="s">
        <v>121</v>
      </c>
      <c r="I46" s="7" t="s">
        <v>182</v>
      </c>
    </row>
    <row r="47" spans="1:9" x14ac:dyDescent="0.25">
      <c r="A47" s="5" t="s">
        <v>3</v>
      </c>
      <c r="B47" s="8" t="s">
        <v>117</v>
      </c>
      <c r="C47" s="8" t="s">
        <v>147</v>
      </c>
      <c r="D47" s="8" t="s">
        <v>186</v>
      </c>
      <c r="E47" s="8" t="s">
        <v>61</v>
      </c>
      <c r="F47" s="5" t="s">
        <v>192</v>
      </c>
      <c r="G47" s="5" t="s">
        <v>50</v>
      </c>
      <c r="H47" s="5" t="s">
        <v>121</v>
      </c>
      <c r="I47" s="9" t="s">
        <v>182</v>
      </c>
    </row>
    <row r="48" spans="1:9" x14ac:dyDescent="0.25">
      <c r="A48" s="5" t="s">
        <v>3</v>
      </c>
      <c r="B48" s="6" t="s">
        <v>117</v>
      </c>
      <c r="C48" s="6" t="s">
        <v>147</v>
      </c>
      <c r="D48" s="6" t="s">
        <v>187</v>
      </c>
      <c r="E48" s="6" t="s">
        <v>62</v>
      </c>
      <c r="F48" s="5" t="s">
        <v>192</v>
      </c>
      <c r="G48" s="5" t="s">
        <v>50</v>
      </c>
      <c r="H48" s="5" t="s">
        <v>121</v>
      </c>
      <c r="I48" s="7" t="s">
        <v>182</v>
      </c>
    </row>
    <row r="49" spans="1:9" x14ac:dyDescent="0.25">
      <c r="A49" s="5" t="s">
        <v>3</v>
      </c>
      <c r="B49" s="8" t="s">
        <v>117</v>
      </c>
      <c r="C49" s="8" t="s">
        <v>147</v>
      </c>
      <c r="D49" s="8" t="s">
        <v>188</v>
      </c>
      <c r="E49" s="8" t="s">
        <v>63</v>
      </c>
      <c r="F49" s="5" t="s">
        <v>192</v>
      </c>
      <c r="G49" s="5" t="s">
        <v>50</v>
      </c>
      <c r="H49" s="5" t="s">
        <v>121</v>
      </c>
      <c r="I49" s="9" t="s">
        <v>182</v>
      </c>
    </row>
  </sheetData>
  <sheetProtection sheet="1"/>
  <autoFilter ref="A1:I1"/>
  <dataValidations count="8">
    <dataValidation type="list" allowBlank="1" showErrorMessage="1" errorTitle="Invalid value" error="Value must be one of: Cheese, BBQ, Sour Cream, White Cheddar, Sour Cheese, Chili BBQ, Chili Cheese, Sweet Corn" sqref="D10:D49">
      <formula1>"Cheese,BBQ,Sour Cream,White Cheddar,Sour Cheese,Chili BBQ,Chili Cheese,Sweet Corn"</formula1>
    </dataValidation>
    <dataValidation type="list" allowBlank="1" showErrorMessage="1" errorTitle="Invalid value" error="Value must be one of: Cheese, BBQ, Sour Cream, White Cheddar, Sour Cheese, Chili BBQ, Chili Cheese, Sweet Corn" sqref="D2:D49">
      <formula1>"Cheese,BBQ,Sour Cream,White Cheddar,Sour Cheese,Chili BBQ,Chili Cheese,Sweet Corn"</formula1>
    </dataValidation>
    <dataValidation type="decimal" operator="greaterThan" allowBlank="1" showErrorMessage="1" errorTitle="Invalid number" error="Value must be a positive number." sqref="F10:F49">
      <formula1>0</formula1>
    </dataValidation>
    <dataValidation type="decimal" operator="greaterThan" allowBlank="1" showErrorMessage="1" errorTitle="Invalid number" error="Value must be a positive number." sqref="F2:F49">
      <formula1>0</formula1>
    </dataValidation>
    <dataValidation type="list" allowBlank="1" showErrorMessage="1" errorTitle="Invalid value" error="Value must be one of: g, kg, ml, L, pc, pack, bottle, tbsp" sqref="G10:G49">
      <formula1>"g,kg,ml,L,pc,pack,bottle,tbsp"</formula1>
    </dataValidation>
    <dataValidation type="list" allowBlank="1" showErrorMessage="1" errorTitle="Invalid value" error="Value must be one of: g, kg, ml, L, pc, pack, bottle, tbsp" sqref="G2:G49">
      <formula1>"g,kg,ml,L,pc,pack,bottle,tbsp"</formula1>
    </dataValidation>
    <dataValidation type="list" allowBlank="1" showErrorMessage="1" errorTitle="Invalid value" error="Value must be one of: YES, NO" sqref="H10:H49">
      <formula1>"YES,NO"</formula1>
    </dataValidation>
    <dataValidation type="list" allowBlank="1" showErrorMessage="1" errorTitle="Invalid value" error="Value must be one of: YES, NO" sqref="H2:H4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customWidth="1"/>
    <col min="4" max="5" width="25" customWidth="1"/>
    <col min="6" max="6" width="14" customWidth="1"/>
    <col min="7" max="7" width="40" customWidth="1"/>
  </cols>
  <sheetData>
    <row r="1" spans="1:7" x14ac:dyDescent="0.25">
      <c r="A1" s="4" t="s">
        <v>193</v>
      </c>
      <c r="B1" s="4" t="s">
        <v>194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33</v>
      </c>
    </row>
    <row r="2" spans="1:7" x14ac:dyDescent="0.25">
      <c r="A2" s="6" t="s">
        <v>169</v>
      </c>
      <c r="B2" s="6" t="s">
        <v>125</v>
      </c>
      <c r="C2" s="6" t="s">
        <v>199</v>
      </c>
      <c r="D2" s="6" t="s">
        <v>117</v>
      </c>
      <c r="E2" s="5" t="s">
        <v>118</v>
      </c>
      <c r="F2" s="6" t="s">
        <v>200</v>
      </c>
      <c r="G2" s="7" t="s">
        <v>201</v>
      </c>
    </row>
    <row r="3" spans="1:7" x14ac:dyDescent="0.25">
      <c r="A3" s="8" t="s">
        <v>169</v>
      </c>
      <c r="B3" s="8" t="s">
        <v>125</v>
      </c>
      <c r="C3" s="8" t="s">
        <v>199</v>
      </c>
      <c r="D3" s="8" t="s">
        <v>152</v>
      </c>
      <c r="E3" s="5" t="s">
        <v>127</v>
      </c>
      <c r="F3" s="8" t="s">
        <v>200</v>
      </c>
      <c r="G3" s="9" t="s">
        <v>201</v>
      </c>
    </row>
    <row r="4" spans="1:7" x14ac:dyDescent="0.25">
      <c r="A4" s="6" t="s">
        <v>169</v>
      </c>
      <c r="B4" s="6" t="s">
        <v>125</v>
      </c>
      <c r="C4" s="6" t="s">
        <v>199</v>
      </c>
      <c r="D4" s="6" t="s">
        <v>159</v>
      </c>
      <c r="E4" s="5" t="s">
        <v>118</v>
      </c>
      <c r="F4" s="6" t="s">
        <v>200</v>
      </c>
      <c r="G4" s="7" t="s">
        <v>201</v>
      </c>
    </row>
    <row r="5" spans="1:7" x14ac:dyDescent="0.25">
      <c r="A5" s="8" t="s">
        <v>169</v>
      </c>
      <c r="B5" s="8" t="s">
        <v>190</v>
      </c>
      <c r="C5" s="8" t="s">
        <v>202</v>
      </c>
      <c r="D5" s="8" t="s">
        <v>117</v>
      </c>
      <c r="E5" s="5" t="s">
        <v>118</v>
      </c>
      <c r="F5" s="8" t="s">
        <v>200</v>
      </c>
      <c r="G5" s="9" t="s">
        <v>201</v>
      </c>
    </row>
    <row r="6" spans="1:7" x14ac:dyDescent="0.25">
      <c r="A6" s="6" t="s">
        <v>169</v>
      </c>
      <c r="B6" s="6" t="s">
        <v>190</v>
      </c>
      <c r="C6" s="6" t="s">
        <v>202</v>
      </c>
      <c r="D6" s="6" t="s">
        <v>152</v>
      </c>
      <c r="E6" s="5" t="s">
        <v>127</v>
      </c>
      <c r="F6" s="6" t="s">
        <v>200</v>
      </c>
      <c r="G6" s="7" t="s">
        <v>201</v>
      </c>
    </row>
    <row r="7" spans="1:7" x14ac:dyDescent="0.25">
      <c r="A7" s="8" t="s">
        <v>169</v>
      </c>
      <c r="B7" s="8" t="s">
        <v>190</v>
      </c>
      <c r="C7" s="8" t="s">
        <v>202</v>
      </c>
      <c r="D7" s="8" t="s">
        <v>159</v>
      </c>
      <c r="E7" s="5" t="s">
        <v>118</v>
      </c>
      <c r="F7" s="8" t="s">
        <v>200</v>
      </c>
      <c r="G7" s="9" t="s">
        <v>201</v>
      </c>
    </row>
    <row r="8" spans="1:7" x14ac:dyDescent="0.25">
      <c r="A8" s="6" t="s">
        <v>171</v>
      </c>
      <c r="B8" s="6" t="s">
        <v>125</v>
      </c>
      <c r="C8" s="6" t="s">
        <v>199</v>
      </c>
      <c r="D8" s="6" t="s">
        <v>117</v>
      </c>
      <c r="E8" s="5" t="s">
        <v>132</v>
      </c>
      <c r="F8" s="6" t="s">
        <v>200</v>
      </c>
      <c r="G8" s="7" t="s">
        <v>201</v>
      </c>
    </row>
    <row r="9" spans="1:7" x14ac:dyDescent="0.25">
      <c r="A9" s="8" t="s">
        <v>171</v>
      </c>
      <c r="B9" s="8" t="s">
        <v>125</v>
      </c>
      <c r="C9" s="8" t="s">
        <v>199</v>
      </c>
      <c r="D9" s="8" t="s">
        <v>152</v>
      </c>
      <c r="E9" s="5" t="s">
        <v>137</v>
      </c>
      <c r="F9" s="8" t="s">
        <v>200</v>
      </c>
      <c r="G9" s="9" t="s">
        <v>201</v>
      </c>
    </row>
    <row r="10" spans="1:7" x14ac:dyDescent="0.25">
      <c r="A10" s="6" t="s">
        <v>171</v>
      </c>
      <c r="B10" s="6" t="s">
        <v>125</v>
      </c>
      <c r="C10" s="6" t="s">
        <v>199</v>
      </c>
      <c r="D10" s="6" t="s">
        <v>159</v>
      </c>
      <c r="E10" s="5" t="s">
        <v>127</v>
      </c>
      <c r="F10" s="6" t="s">
        <v>200</v>
      </c>
      <c r="G10" s="7" t="s">
        <v>201</v>
      </c>
    </row>
    <row r="11" spans="1:7" x14ac:dyDescent="0.25">
      <c r="A11" s="8" t="s">
        <v>171</v>
      </c>
      <c r="B11" s="8" t="s">
        <v>190</v>
      </c>
      <c r="C11" s="8" t="s">
        <v>202</v>
      </c>
      <c r="D11" s="8" t="s">
        <v>117</v>
      </c>
      <c r="E11" s="5" t="s">
        <v>132</v>
      </c>
      <c r="F11" s="8" t="s">
        <v>200</v>
      </c>
      <c r="G11" s="9" t="s">
        <v>201</v>
      </c>
    </row>
    <row r="12" spans="1:7" x14ac:dyDescent="0.25">
      <c r="A12" s="6" t="s">
        <v>171</v>
      </c>
      <c r="B12" s="6" t="s">
        <v>190</v>
      </c>
      <c r="C12" s="6" t="s">
        <v>202</v>
      </c>
      <c r="D12" s="6" t="s">
        <v>152</v>
      </c>
      <c r="E12" s="5" t="s">
        <v>137</v>
      </c>
      <c r="F12" s="6" t="s">
        <v>200</v>
      </c>
      <c r="G12" s="7" t="s">
        <v>201</v>
      </c>
    </row>
    <row r="13" spans="1:7" x14ac:dyDescent="0.25">
      <c r="A13" s="8" t="s">
        <v>171</v>
      </c>
      <c r="B13" s="8" t="s">
        <v>190</v>
      </c>
      <c r="C13" s="8" t="s">
        <v>202</v>
      </c>
      <c r="D13" s="8" t="s">
        <v>159</v>
      </c>
      <c r="E13" s="5" t="s">
        <v>127</v>
      </c>
      <c r="F13" s="8" t="s">
        <v>200</v>
      </c>
      <c r="G13" s="9" t="s">
        <v>201</v>
      </c>
    </row>
    <row r="14" spans="1:7" x14ac:dyDescent="0.25">
      <c r="A14" s="6" t="s">
        <v>172</v>
      </c>
      <c r="B14" s="6" t="s">
        <v>125</v>
      </c>
      <c r="C14" s="6" t="s">
        <v>199</v>
      </c>
      <c r="D14" s="6" t="s">
        <v>117</v>
      </c>
      <c r="E14" s="5" t="s">
        <v>137</v>
      </c>
      <c r="F14" s="6" t="s">
        <v>200</v>
      </c>
      <c r="G14" s="7" t="s">
        <v>201</v>
      </c>
    </row>
    <row r="15" spans="1:7" x14ac:dyDescent="0.25">
      <c r="A15" s="8" t="s">
        <v>172</v>
      </c>
      <c r="B15" s="8" t="s">
        <v>125</v>
      </c>
      <c r="C15" s="8" t="s">
        <v>199</v>
      </c>
      <c r="D15" s="8" t="s">
        <v>152</v>
      </c>
      <c r="E15" s="5" t="s">
        <v>137</v>
      </c>
      <c r="F15" s="8" t="s">
        <v>200</v>
      </c>
      <c r="G15" s="9" t="s">
        <v>201</v>
      </c>
    </row>
    <row r="16" spans="1:7" x14ac:dyDescent="0.25">
      <c r="A16" s="6" t="s">
        <v>172</v>
      </c>
      <c r="B16" s="6" t="s">
        <v>125</v>
      </c>
      <c r="C16" s="6" t="s">
        <v>199</v>
      </c>
      <c r="D16" s="6" t="s">
        <v>159</v>
      </c>
      <c r="E16" s="5" t="s">
        <v>137</v>
      </c>
      <c r="F16" s="6" t="s">
        <v>200</v>
      </c>
      <c r="G16" s="7" t="s">
        <v>201</v>
      </c>
    </row>
    <row r="17" spans="1:7" x14ac:dyDescent="0.25">
      <c r="A17" s="8" t="s">
        <v>172</v>
      </c>
      <c r="B17" s="8" t="s">
        <v>190</v>
      </c>
      <c r="C17" s="8" t="s">
        <v>202</v>
      </c>
      <c r="D17" s="8" t="s">
        <v>117</v>
      </c>
      <c r="E17" s="5" t="s">
        <v>137</v>
      </c>
      <c r="F17" s="8" t="s">
        <v>200</v>
      </c>
      <c r="G17" s="9" t="s">
        <v>201</v>
      </c>
    </row>
    <row r="18" spans="1:7" x14ac:dyDescent="0.25">
      <c r="A18" s="6" t="s">
        <v>172</v>
      </c>
      <c r="B18" s="6" t="s">
        <v>190</v>
      </c>
      <c r="C18" s="6" t="s">
        <v>202</v>
      </c>
      <c r="D18" s="6" t="s">
        <v>152</v>
      </c>
      <c r="E18" s="5" t="s">
        <v>137</v>
      </c>
      <c r="F18" s="6" t="s">
        <v>200</v>
      </c>
      <c r="G18" s="7" t="s">
        <v>201</v>
      </c>
    </row>
    <row r="19" spans="1:7" x14ac:dyDescent="0.25">
      <c r="A19" s="8" t="s">
        <v>172</v>
      </c>
      <c r="B19" s="8" t="s">
        <v>190</v>
      </c>
      <c r="C19" s="8" t="s">
        <v>202</v>
      </c>
      <c r="D19" s="8" t="s">
        <v>159</v>
      </c>
      <c r="E19" s="5" t="s">
        <v>137</v>
      </c>
      <c r="F19" s="8" t="s">
        <v>200</v>
      </c>
      <c r="G19" s="9" t="s">
        <v>201</v>
      </c>
    </row>
    <row r="20" spans="1:7" x14ac:dyDescent="0.25">
      <c r="A20" s="6" t="s">
        <v>172</v>
      </c>
      <c r="B20" s="6" t="s">
        <v>203</v>
      </c>
      <c r="C20" s="6" t="s">
        <v>204</v>
      </c>
      <c r="D20" s="6" t="s">
        <v>117</v>
      </c>
      <c r="E20" s="5" t="s">
        <v>137</v>
      </c>
      <c r="F20" s="6" t="s">
        <v>200</v>
      </c>
      <c r="G20" s="7" t="s">
        <v>201</v>
      </c>
    </row>
    <row r="21" spans="1:7" x14ac:dyDescent="0.25">
      <c r="A21" s="8" t="s">
        <v>172</v>
      </c>
      <c r="B21" s="8" t="s">
        <v>203</v>
      </c>
      <c r="C21" s="8" t="s">
        <v>204</v>
      </c>
      <c r="D21" s="8" t="s">
        <v>152</v>
      </c>
      <c r="E21" s="5" t="s">
        <v>137</v>
      </c>
      <c r="F21" s="8" t="s">
        <v>200</v>
      </c>
      <c r="G21" s="9" t="s">
        <v>201</v>
      </c>
    </row>
    <row r="22" spans="1:7" x14ac:dyDescent="0.25">
      <c r="A22" s="6" t="s">
        <v>172</v>
      </c>
      <c r="B22" s="6" t="s">
        <v>203</v>
      </c>
      <c r="C22" s="6" t="s">
        <v>204</v>
      </c>
      <c r="D22" s="6" t="s">
        <v>159</v>
      </c>
      <c r="E22" s="5" t="s">
        <v>137</v>
      </c>
      <c r="F22" s="6" t="s">
        <v>200</v>
      </c>
      <c r="G22" s="7" t="s">
        <v>201</v>
      </c>
    </row>
  </sheetData>
  <sheetProtection sheet="1"/>
  <autoFilter ref="A1:G1"/>
  <dataValidations count="6">
    <dataValidation type="list" allowBlank="1" showErrorMessage="1" errorTitle="Invalid value" error="Value must be one of: Flavored Fries, Loopys, Crunchy Chicken Pops" sqref="D10:D22">
      <formula1>"Flavored Fries,Loopys,Crunchy Chicken Pops"</formula1>
    </dataValidation>
    <dataValidation type="list" allowBlank="1" showErrorMessage="1" errorTitle="Invalid value" error="Value must be one of: Flavored Fries, Loopys, Crunchy Chicken Pops" sqref="D2:D22">
      <formula1>"Flavored Fries,Loopys,Crunchy Chicken Pops"</formula1>
    </dataValidation>
    <dataValidation type="list" allowBlank="1" showErrorMessage="1" errorTitle="Invalid value" error="Value must be one of: Regular, Large, Jumbo, Mega, Giga, Tera" sqref="E10:E22">
      <formula1>"Regular,Large,Jumbo,Mega,Giga,Tera"</formula1>
    </dataValidation>
    <dataValidation type="list" allowBlank="1" showErrorMessage="1" errorTitle="Invalid value" error="Value must be one of: Regular, Large, Jumbo, Mega, Giga, Tera" sqref="E2:E22">
      <formula1>"Regular,Large,Jumbo,Mega,Giga,Tera"</formula1>
    </dataValidation>
    <dataValidation type="list" allowBlank="1" showErrorMessage="1" errorTitle="Invalid value" error="Value must be one of: TRUE, FALSE" sqref="F10:F22">
      <formula1>"TRUE,FALSE"</formula1>
    </dataValidation>
    <dataValidation type="list" allowBlank="1" showErrorMessage="1" errorTitle="Invalid value" error="Value must be one of: TRUE, FALSE" sqref="F2:F2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3" customWidth="1"/>
    <col min="3" max="3" width="20" customWidth="1"/>
    <col min="4" max="5" width="14" customWidth="1"/>
    <col min="6" max="6" width="18" customWidth="1"/>
    <col min="7" max="7" width="40" customWidth="1"/>
  </cols>
  <sheetData>
    <row r="1" spans="1:7" x14ac:dyDescent="0.25">
      <c r="A1" s="4" t="s">
        <v>27</v>
      </c>
      <c r="B1" s="4" t="s">
        <v>28</v>
      </c>
      <c r="C1" s="4" t="s">
        <v>205</v>
      </c>
      <c r="D1" s="4" t="s">
        <v>115</v>
      </c>
      <c r="E1" s="4" t="s">
        <v>206</v>
      </c>
      <c r="F1" s="4" t="s">
        <v>207</v>
      </c>
      <c r="G1" s="4" t="s">
        <v>33</v>
      </c>
    </row>
    <row r="2" spans="1:7" x14ac:dyDescent="0.25">
      <c r="A2" s="5" t="s">
        <v>3</v>
      </c>
      <c r="B2" s="6" t="s">
        <v>34</v>
      </c>
      <c r="C2" s="5" t="s">
        <v>52</v>
      </c>
      <c r="D2" s="5" t="s">
        <v>36</v>
      </c>
      <c r="E2" s="5" t="s">
        <v>37</v>
      </c>
      <c r="F2" s="10" t="s">
        <v>208</v>
      </c>
      <c r="G2" s="7" t="s">
        <v>39</v>
      </c>
    </row>
    <row r="3" spans="1:7" x14ac:dyDescent="0.25">
      <c r="A3" s="5" t="s">
        <v>3</v>
      </c>
      <c r="B3" s="8" t="s">
        <v>40</v>
      </c>
      <c r="C3" s="5" t="s">
        <v>209</v>
      </c>
      <c r="D3" s="5" t="s">
        <v>41</v>
      </c>
      <c r="E3" s="5" t="s">
        <v>42</v>
      </c>
      <c r="F3" s="10" t="s">
        <v>208</v>
      </c>
      <c r="G3" s="9" t="s">
        <v>39</v>
      </c>
    </row>
    <row r="4" spans="1:7" x14ac:dyDescent="0.25">
      <c r="A4" s="5" t="s">
        <v>3</v>
      </c>
      <c r="B4" s="6" t="s">
        <v>44</v>
      </c>
      <c r="C4" s="5" t="s">
        <v>210</v>
      </c>
      <c r="D4" s="5" t="s">
        <v>36</v>
      </c>
      <c r="E4" s="5" t="s">
        <v>45</v>
      </c>
      <c r="F4" s="10" t="s">
        <v>208</v>
      </c>
      <c r="G4" s="7" t="s">
        <v>39</v>
      </c>
    </row>
    <row r="5" spans="1:7" x14ac:dyDescent="0.25">
      <c r="A5" s="5" t="s">
        <v>3</v>
      </c>
      <c r="B5" s="8" t="s">
        <v>46</v>
      </c>
      <c r="C5" s="5" t="s">
        <v>210</v>
      </c>
      <c r="D5" s="5" t="s">
        <v>36</v>
      </c>
      <c r="E5" s="5" t="s">
        <v>47</v>
      </c>
      <c r="F5" s="10" t="s">
        <v>208</v>
      </c>
      <c r="G5" s="9" t="s">
        <v>39</v>
      </c>
    </row>
    <row r="6" spans="1:7" x14ac:dyDescent="0.25">
      <c r="A6" s="5" t="s">
        <v>3</v>
      </c>
      <c r="B6" s="6" t="s">
        <v>48</v>
      </c>
      <c r="C6" s="5" t="s">
        <v>109</v>
      </c>
      <c r="D6" s="5" t="s">
        <v>50</v>
      </c>
      <c r="E6" s="5" t="s">
        <v>51</v>
      </c>
      <c r="F6" s="10" t="s">
        <v>208</v>
      </c>
      <c r="G6" s="7" t="s">
        <v>211</v>
      </c>
    </row>
    <row r="7" spans="1:7" x14ac:dyDescent="0.25">
      <c r="A7" s="5" t="s">
        <v>3</v>
      </c>
      <c r="B7" s="8" t="s">
        <v>54</v>
      </c>
      <c r="C7" s="5" t="s">
        <v>109</v>
      </c>
      <c r="D7" s="5" t="s">
        <v>50</v>
      </c>
      <c r="E7" s="5" t="s">
        <v>55</v>
      </c>
      <c r="F7" s="10" t="s">
        <v>208</v>
      </c>
      <c r="G7" s="9" t="s">
        <v>211</v>
      </c>
    </row>
    <row r="8" spans="1:7" x14ac:dyDescent="0.25">
      <c r="A8" s="5" t="s">
        <v>3</v>
      </c>
      <c r="B8" s="6" t="s">
        <v>56</v>
      </c>
      <c r="C8" s="5" t="s">
        <v>109</v>
      </c>
      <c r="D8" s="5" t="s">
        <v>50</v>
      </c>
      <c r="E8" s="5" t="s">
        <v>57</v>
      </c>
      <c r="F8" s="10" t="s">
        <v>208</v>
      </c>
      <c r="G8" s="7" t="s">
        <v>211</v>
      </c>
    </row>
    <row r="9" spans="1:7" x14ac:dyDescent="0.25">
      <c r="A9" s="5" t="s">
        <v>3</v>
      </c>
      <c r="B9" s="8" t="s">
        <v>58</v>
      </c>
      <c r="C9" s="5" t="s">
        <v>109</v>
      </c>
      <c r="D9" s="5" t="s">
        <v>50</v>
      </c>
      <c r="E9" s="5" t="s">
        <v>59</v>
      </c>
      <c r="F9" s="10" t="s">
        <v>208</v>
      </c>
      <c r="G9" s="9" t="s">
        <v>211</v>
      </c>
    </row>
    <row r="10" spans="1:7" x14ac:dyDescent="0.25">
      <c r="A10" s="5" t="s">
        <v>3</v>
      </c>
      <c r="B10" s="6" t="s">
        <v>60</v>
      </c>
      <c r="C10" s="5" t="s">
        <v>109</v>
      </c>
      <c r="D10" s="5" t="s">
        <v>50</v>
      </c>
      <c r="E10" s="5" t="s">
        <v>57</v>
      </c>
      <c r="F10" s="10" t="s">
        <v>208</v>
      </c>
      <c r="G10" s="7" t="s">
        <v>211</v>
      </c>
    </row>
    <row r="11" spans="1:7" x14ac:dyDescent="0.25">
      <c r="A11" s="5" t="s">
        <v>3</v>
      </c>
      <c r="B11" s="8" t="s">
        <v>61</v>
      </c>
      <c r="C11" s="5" t="s">
        <v>109</v>
      </c>
      <c r="D11" s="5" t="s">
        <v>50</v>
      </c>
      <c r="E11" s="5" t="s">
        <v>51</v>
      </c>
      <c r="F11" s="10" t="s">
        <v>208</v>
      </c>
      <c r="G11" s="9" t="s">
        <v>211</v>
      </c>
    </row>
    <row r="12" spans="1:7" x14ac:dyDescent="0.25">
      <c r="A12" s="5" t="s">
        <v>3</v>
      </c>
      <c r="B12" s="6" t="s">
        <v>62</v>
      </c>
      <c r="C12" s="5" t="s">
        <v>109</v>
      </c>
      <c r="D12" s="5" t="s">
        <v>50</v>
      </c>
      <c r="E12" s="5" t="s">
        <v>57</v>
      </c>
      <c r="F12" s="10" t="s">
        <v>208</v>
      </c>
      <c r="G12" s="7" t="s">
        <v>211</v>
      </c>
    </row>
    <row r="13" spans="1:7" x14ac:dyDescent="0.25">
      <c r="A13" s="5" t="s">
        <v>3</v>
      </c>
      <c r="B13" s="8" t="s">
        <v>63</v>
      </c>
      <c r="C13" s="5" t="s">
        <v>109</v>
      </c>
      <c r="D13" s="5" t="s">
        <v>50</v>
      </c>
      <c r="E13" s="5" t="s">
        <v>55</v>
      </c>
      <c r="F13" s="10" t="s">
        <v>208</v>
      </c>
      <c r="G13" s="9" t="s">
        <v>211</v>
      </c>
    </row>
    <row r="14" spans="1:7" x14ac:dyDescent="0.25">
      <c r="A14" s="5" t="s">
        <v>3</v>
      </c>
      <c r="B14" s="6" t="s">
        <v>64</v>
      </c>
      <c r="C14" s="5" t="s">
        <v>109</v>
      </c>
      <c r="D14" s="5" t="s">
        <v>66</v>
      </c>
      <c r="E14" s="5" t="s">
        <v>67</v>
      </c>
      <c r="F14" s="10" t="s">
        <v>208</v>
      </c>
      <c r="G14" s="7" t="s">
        <v>39</v>
      </c>
    </row>
    <row r="15" spans="1:7" x14ac:dyDescent="0.25">
      <c r="A15" s="5" t="s">
        <v>3</v>
      </c>
      <c r="B15" s="8" t="s">
        <v>69</v>
      </c>
      <c r="C15" s="5" t="s">
        <v>212</v>
      </c>
      <c r="D15" s="5" t="s">
        <v>66</v>
      </c>
      <c r="E15" s="5" t="s">
        <v>70</v>
      </c>
      <c r="F15" s="10" t="s">
        <v>208</v>
      </c>
      <c r="G15" s="9" t="s">
        <v>39</v>
      </c>
    </row>
    <row r="16" spans="1:7" x14ac:dyDescent="0.25">
      <c r="A16" s="5" t="s">
        <v>3</v>
      </c>
      <c r="B16" s="6" t="s">
        <v>72</v>
      </c>
      <c r="C16" s="5" t="s">
        <v>93</v>
      </c>
      <c r="D16" s="5" t="s">
        <v>66</v>
      </c>
      <c r="E16" s="5" t="s">
        <v>73</v>
      </c>
      <c r="F16" s="10" t="s">
        <v>208</v>
      </c>
      <c r="G16" s="7" t="s">
        <v>39</v>
      </c>
    </row>
    <row r="17" spans="1:7" x14ac:dyDescent="0.25">
      <c r="A17" s="5" t="s">
        <v>3</v>
      </c>
      <c r="B17" s="8" t="s">
        <v>75</v>
      </c>
      <c r="C17" s="5" t="s">
        <v>68</v>
      </c>
      <c r="D17" s="5" t="s">
        <v>66</v>
      </c>
      <c r="E17" s="5" t="s">
        <v>76</v>
      </c>
      <c r="F17" s="10" t="s">
        <v>208</v>
      </c>
      <c r="G17" s="9" t="s">
        <v>39</v>
      </c>
    </row>
    <row r="18" spans="1:7" x14ac:dyDescent="0.25">
      <c r="A18" s="5" t="s">
        <v>3</v>
      </c>
      <c r="B18" s="6" t="s">
        <v>78</v>
      </c>
      <c r="C18" s="5" t="s">
        <v>74</v>
      </c>
      <c r="D18" s="5" t="s">
        <v>66</v>
      </c>
      <c r="E18" s="5" t="s">
        <v>79</v>
      </c>
      <c r="F18" s="10" t="s">
        <v>208</v>
      </c>
      <c r="G18" s="7" t="s">
        <v>39</v>
      </c>
    </row>
    <row r="19" spans="1:7" x14ac:dyDescent="0.25">
      <c r="A19" s="5" t="s">
        <v>3</v>
      </c>
      <c r="B19" s="8" t="s">
        <v>81</v>
      </c>
      <c r="C19" s="5" t="s">
        <v>77</v>
      </c>
      <c r="D19" s="5" t="s">
        <v>66</v>
      </c>
      <c r="E19" s="5" t="s">
        <v>82</v>
      </c>
      <c r="F19" s="10" t="s">
        <v>208</v>
      </c>
      <c r="G19" s="9" t="s">
        <v>39</v>
      </c>
    </row>
    <row r="20" spans="1:7" x14ac:dyDescent="0.25">
      <c r="A20" s="5" t="s">
        <v>3</v>
      </c>
      <c r="B20" s="6" t="s">
        <v>83</v>
      </c>
      <c r="C20" s="5" t="s">
        <v>68</v>
      </c>
      <c r="D20" s="5" t="s">
        <v>66</v>
      </c>
      <c r="E20" s="5" t="s">
        <v>84</v>
      </c>
      <c r="F20" s="10" t="s">
        <v>208</v>
      </c>
      <c r="G20" s="7" t="s">
        <v>39</v>
      </c>
    </row>
    <row r="21" spans="1:7" x14ac:dyDescent="0.25">
      <c r="A21" s="5" t="s">
        <v>3</v>
      </c>
      <c r="B21" s="8" t="s">
        <v>85</v>
      </c>
      <c r="C21" s="5" t="s">
        <v>74</v>
      </c>
      <c r="D21" s="5" t="s">
        <v>66</v>
      </c>
      <c r="E21" s="5" t="s">
        <v>86</v>
      </c>
      <c r="F21" s="10" t="s">
        <v>208</v>
      </c>
      <c r="G21" s="9" t="s">
        <v>39</v>
      </c>
    </row>
    <row r="22" spans="1:7" x14ac:dyDescent="0.25">
      <c r="A22" s="5" t="s">
        <v>3</v>
      </c>
      <c r="B22" s="6" t="s">
        <v>87</v>
      </c>
      <c r="C22" s="5" t="s">
        <v>213</v>
      </c>
      <c r="D22" s="5" t="s">
        <v>66</v>
      </c>
      <c r="E22" s="5" t="s">
        <v>88</v>
      </c>
      <c r="F22" s="10" t="s">
        <v>208</v>
      </c>
      <c r="G22" s="7" t="s">
        <v>39</v>
      </c>
    </row>
    <row r="23" spans="1:7" x14ac:dyDescent="0.25">
      <c r="A23" s="5" t="s">
        <v>3</v>
      </c>
      <c r="B23" s="8" t="s">
        <v>89</v>
      </c>
      <c r="C23" s="5" t="s">
        <v>68</v>
      </c>
      <c r="D23" s="5" t="s">
        <v>66</v>
      </c>
      <c r="E23" s="5" t="s">
        <v>84</v>
      </c>
      <c r="F23" s="10" t="s">
        <v>208</v>
      </c>
      <c r="G23" s="9" t="s">
        <v>39</v>
      </c>
    </row>
    <row r="24" spans="1:7" x14ac:dyDescent="0.25">
      <c r="A24" s="5" t="s">
        <v>3</v>
      </c>
      <c r="B24" s="6" t="s">
        <v>90</v>
      </c>
      <c r="C24" s="5" t="s">
        <v>74</v>
      </c>
      <c r="D24" s="5" t="s">
        <v>66</v>
      </c>
      <c r="E24" s="5" t="s">
        <v>86</v>
      </c>
      <c r="F24" s="10" t="s">
        <v>208</v>
      </c>
      <c r="G24" s="7" t="s">
        <v>39</v>
      </c>
    </row>
    <row r="25" spans="1:7" x14ac:dyDescent="0.25">
      <c r="A25" s="5" t="s">
        <v>3</v>
      </c>
      <c r="B25" s="8" t="s">
        <v>91</v>
      </c>
      <c r="C25" s="5" t="s">
        <v>105</v>
      </c>
      <c r="D25" s="5" t="s">
        <v>66</v>
      </c>
      <c r="E25" s="5" t="s">
        <v>92</v>
      </c>
      <c r="F25" s="10" t="s">
        <v>208</v>
      </c>
      <c r="G25" s="9" t="s">
        <v>39</v>
      </c>
    </row>
    <row r="26" spans="1:7" x14ac:dyDescent="0.25">
      <c r="A26" s="5" t="s">
        <v>3</v>
      </c>
      <c r="B26" s="6" t="s">
        <v>94</v>
      </c>
      <c r="C26" s="5" t="s">
        <v>214</v>
      </c>
      <c r="D26" s="5" t="s">
        <v>66</v>
      </c>
      <c r="E26" s="5" t="s">
        <v>51</v>
      </c>
      <c r="F26" s="10" t="s">
        <v>208</v>
      </c>
      <c r="G26" s="7" t="s">
        <v>39</v>
      </c>
    </row>
    <row r="27" spans="1:7" x14ac:dyDescent="0.25">
      <c r="A27" s="5" t="s">
        <v>3</v>
      </c>
      <c r="B27" s="8" t="s">
        <v>95</v>
      </c>
      <c r="C27" s="5" t="s">
        <v>109</v>
      </c>
      <c r="D27" s="5" t="s">
        <v>66</v>
      </c>
      <c r="E27" s="5" t="s">
        <v>96</v>
      </c>
      <c r="F27" s="10" t="s">
        <v>208</v>
      </c>
      <c r="G27" s="9" t="s">
        <v>39</v>
      </c>
    </row>
    <row r="28" spans="1:7" x14ac:dyDescent="0.25">
      <c r="A28" s="5" t="s">
        <v>3</v>
      </c>
      <c r="B28" s="6" t="s">
        <v>97</v>
      </c>
      <c r="C28" s="5" t="s">
        <v>74</v>
      </c>
      <c r="D28" s="5" t="s">
        <v>66</v>
      </c>
      <c r="E28" s="5" t="s">
        <v>99</v>
      </c>
      <c r="F28" s="10" t="s">
        <v>208</v>
      </c>
      <c r="G28" s="7" t="s">
        <v>39</v>
      </c>
    </row>
    <row r="29" spans="1:7" x14ac:dyDescent="0.25">
      <c r="A29" s="5" t="s">
        <v>3</v>
      </c>
      <c r="B29" s="8" t="s">
        <v>101</v>
      </c>
      <c r="C29" s="5" t="s">
        <v>74</v>
      </c>
      <c r="D29" s="5" t="s">
        <v>66</v>
      </c>
      <c r="E29" s="5" t="s">
        <v>102</v>
      </c>
      <c r="F29" s="10" t="s">
        <v>208</v>
      </c>
      <c r="G29" s="9" t="s">
        <v>39</v>
      </c>
    </row>
    <row r="30" spans="1:7" x14ac:dyDescent="0.25">
      <c r="A30" s="5" t="s">
        <v>3</v>
      </c>
      <c r="B30" s="6" t="s">
        <v>103</v>
      </c>
      <c r="C30" s="5" t="s">
        <v>215</v>
      </c>
      <c r="D30" s="5" t="s">
        <v>66</v>
      </c>
      <c r="E30" s="5" t="s">
        <v>104</v>
      </c>
      <c r="F30" s="10" t="s">
        <v>208</v>
      </c>
      <c r="G30" s="7" t="s">
        <v>106</v>
      </c>
    </row>
    <row r="31" spans="1:7" x14ac:dyDescent="0.25">
      <c r="A31" s="5" t="s">
        <v>3</v>
      </c>
      <c r="B31" s="8" t="s">
        <v>107</v>
      </c>
      <c r="C31" s="5" t="s">
        <v>216</v>
      </c>
      <c r="D31" s="5" t="s">
        <v>66</v>
      </c>
      <c r="E31" s="5" t="s">
        <v>108</v>
      </c>
      <c r="F31" s="10" t="s">
        <v>208</v>
      </c>
      <c r="G31" s="9" t="s">
        <v>106</v>
      </c>
    </row>
    <row r="32" spans="1:7" x14ac:dyDescent="0.25">
      <c r="A32" s="5" t="s">
        <v>3</v>
      </c>
      <c r="B32" s="6" t="s">
        <v>110</v>
      </c>
      <c r="C32" s="5" t="s">
        <v>216</v>
      </c>
      <c r="D32" s="5" t="s">
        <v>66</v>
      </c>
      <c r="E32" s="5" t="s">
        <v>67</v>
      </c>
      <c r="F32" s="10" t="s">
        <v>208</v>
      </c>
      <c r="G32" s="7" t="s">
        <v>39</v>
      </c>
    </row>
  </sheetData>
  <sheetProtection sheet="1"/>
  <autoFilter ref="A1:G1"/>
  <dataValidations count="8">
    <dataValidation type="decimal" operator="greaterThanOrEqual" allowBlank="1" showErrorMessage="1" errorTitle="Invalid number" error="Value must be a non-negative number." sqref="C10:C32">
      <formula1>0</formula1>
    </dataValidation>
    <dataValidation type="decimal" operator="greaterThanOrEqual" allowBlank="1" showErrorMessage="1" errorTitle="Invalid number" error="Value must be a non-negative number." sqref="C2:C32">
      <formula1>0</formula1>
    </dataValidation>
    <dataValidation type="list" allowBlank="1" showErrorMessage="1" errorTitle="Invalid value" error="Value must be one of: g, kg, ml, L, pc, pack, bottle, tbsp" sqref="D10:D32">
      <formula1>"g,kg,ml,L,pc,pack,bottle,tbsp"</formula1>
    </dataValidation>
    <dataValidation type="list" allowBlank="1" showErrorMessage="1" errorTitle="Invalid value" error="Value must be one of: g, kg, ml, L, pc, pack, bottle, tbsp" sqref="D2:D32">
      <formula1>"g,kg,ml,L,pc,pack,bottle,tbsp"</formula1>
    </dataValidation>
    <dataValidation type="decimal" operator="greaterThanOrEqual" allowBlank="1" showErrorMessage="1" errorTitle="Invalid number" error="Value must be a non-negative number." sqref="E10:E32">
      <formula1>0</formula1>
    </dataValidation>
    <dataValidation type="decimal" operator="greaterThanOrEqual" allowBlank="1" showErrorMessage="1" errorTitle="Invalid number" error="Value must be a non-negative number." sqref="E2:E32">
      <formula1>0</formula1>
    </dataValidation>
    <dataValidation type="date" allowBlank="1" showErrorMessage="1" errorTitle="Invalid date" error="Value must be a valid date between 2000-01-01 and 2100-12-31." sqref="F10:F32">
      <formula1>NaN</formula1>
      <formula2>NaN</formula2>
    </dataValidation>
    <dataValidation type="date" allowBlank="1" showErrorMessage="1" errorTitle="Invalid date" error="Value must be a valid date between 2000-01-01 and 2100-12-31." sqref="F2:F32">
      <formula1>NaN</formula1>
      <formula2>NaN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5" width="20" customWidth="1"/>
  </cols>
  <sheetData>
    <row r="1" spans="1:1" x14ac:dyDescent="0.25">
      <c r="A1" s="11" t="s">
        <v>217</v>
      </c>
    </row>
    <row r="2" spans="1:5" x14ac:dyDescent="0.25">
      <c r="A2" s="12" t="s">
        <v>218</v>
      </c>
      <c r="B2" s="12"/>
      <c r="C2" s="12"/>
      <c r="D2" s="12"/>
      <c r="E2" s="12"/>
    </row>
    <row r="4" spans="1:5" x14ac:dyDescent="0.25">
      <c r="A4" s="13" t="s">
        <v>219</v>
      </c>
      <c r="B4" s="13" t="s">
        <v>220</v>
      </c>
      <c r="C4" s="13" t="s">
        <v>221</v>
      </c>
      <c r="D4" s="13" t="s">
        <v>222</v>
      </c>
      <c r="E4" s="13" t="s">
        <v>223</v>
      </c>
    </row>
    <row r="5" spans="1:5" x14ac:dyDescent="0.25">
      <c r="A5" s="14" t="s">
        <v>224</v>
      </c>
      <c r="B5" s="15">
        <f>COUNTA('Ingredients'!A2:A32)</f>
        <v>31</v>
      </c>
      <c r="C5" s="15">
        <v>4</v>
      </c>
      <c r="D5" s="15">
        <f>COUNTBLANK('Ingredients'!A2:A32)+COUNTBLANK('Ingredients'!D2:D32)+COUNTBLANK('Ingredients'!E2:E32)+COUNTBLANK('Ingredients'!F2:F32)</f>
      </c>
      <c r="E5" s="15">
        <f>IF(D5=0,"COMPLETE","INCOMPLETE")</f>
      </c>
    </row>
    <row r="6" spans="1:5" x14ac:dyDescent="0.25">
      <c r="A6" s="14" t="s">
        <v>225</v>
      </c>
      <c r="B6" s="15">
        <f>COUNTA('Product BOM'!A2:A34)</f>
        <v>33</v>
      </c>
      <c r="C6" s="15">
        <v>4</v>
      </c>
      <c r="D6" s="15">
        <f>COUNTBLANK('Product BOM'!A2:A34)+COUNTBLANK('Product BOM'!F2:F34)+COUNTBLANK('Product BOM'!G2:G34)+COUNTBLANK('Product BOM'!H2:H34)</f>
      </c>
      <c r="E6" s="15">
        <f>IF(D6=0,"COMPLETE","INCOMPLETE")</f>
      </c>
    </row>
    <row r="7" spans="1:5" x14ac:dyDescent="0.25">
      <c r="A7" s="14" t="s">
        <v>226</v>
      </c>
      <c r="B7" s="15">
        <f>COUNTA('Flavor BOM'!A2:A49)</f>
        <v>48</v>
      </c>
      <c r="C7" s="15">
        <v>4</v>
      </c>
      <c r="D7" s="15">
        <f>COUNTBLANK('Flavor BOM'!A2:A49)+COUNTBLANK('Flavor BOM'!F2:F49)+COUNTBLANK('Flavor BOM'!G2:G49)+COUNTBLANK('Flavor BOM'!H2:H49)</f>
      </c>
      <c r="E7" s="15">
        <f>IF(D7=0,"COMPLETE","INCOMPLETE")</f>
      </c>
    </row>
    <row r="8" spans="1:5" x14ac:dyDescent="0.25">
      <c r="A8" s="14" t="s">
        <v>227</v>
      </c>
      <c r="B8" s="15">
        <f>COUNTA('Mix Max Options'!A2:A22)</f>
        <v>21</v>
      </c>
      <c r="C8" s="15">
        <v>1</v>
      </c>
      <c r="D8" s="15">
        <f>COUNTBLANK('Mix Max Options'!E2:E22)</f>
      </c>
      <c r="E8" s="15">
        <f>IF(D8=0,"COMPLETE","INCOMPLETE")</f>
      </c>
    </row>
    <row r="9" spans="1:5" x14ac:dyDescent="0.25">
      <c r="A9" s="14" t="s">
        <v>228</v>
      </c>
      <c r="B9" s="15">
        <f>COUNTA('Opening Stock'!A2:A32)</f>
        <v>31</v>
      </c>
      <c r="C9" s="15">
        <v>5</v>
      </c>
      <c r="D9" s="15">
        <f>COUNTBLANK('Opening Stock'!A2:A32)+COUNTBLANK('Opening Stock'!C2:C32)+COUNTBLANK('Opening Stock'!D2:D32)+COUNTBLANK('Opening Stock'!E2:E32)+COUNTBLANK('Opening Stock'!F2:F32)</f>
      </c>
      <c r="E9" s="15">
        <f>IF(D9=0,"COMPLETE","INCOMPLETE")</f>
      </c>
    </row>
    <row r="10" spans="1:4" x14ac:dyDescent="0.25">
      <c r="A10" s="16" t="s">
        <v>229</v>
      </c>
      <c r="B10" s="16">
        <f>SUM(B5:B9)</f>
      </c>
      <c r="C10" s="16">
        <f>SUM(C5:C9)</f>
      </c>
      <c r="D10" s="16">
        <f>SUM(D5:D9)</f>
      </c>
    </row>
  </sheetData>
  <sheetProtection sheet="1"/>
  <autoFilter ref="A4:E4"/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Ingredients</vt:lpstr>
      <vt:lpstr>Product BOM</vt:lpstr>
      <vt:lpstr>Flavor BOM</vt:lpstr>
      <vt:lpstr>Mix Max Options</vt:lpstr>
      <vt:lpstr>Opening Stock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 Corner Inventory Setup</dc:creator>
  <dc:title/>
  <dc:subject/>
  <dc:description/>
  <cp:keywords/>
  <cp:category/>
  <cp:lastModifiedBy>Unknown</cp:lastModifiedBy>
  <dcterms:created xsi:type="dcterms:W3CDTF">2026-07-28T18:09:10Z</dcterms:created>
  <dcterms:modified xsi:type="dcterms:W3CDTF">2026-07-28T18:09:10Z</dcterms:modified>
</cp:coreProperties>
</file>